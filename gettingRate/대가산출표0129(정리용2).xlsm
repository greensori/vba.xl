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20" yWindow="90" windowWidth="18660" windowHeight="7080" activeTab="1"/>
  </bookViews>
  <sheets>
    <sheet name="mysheet" sheetId="4" r:id="rId1"/>
    <sheet name="mysheet (2)" sheetId="5" r:id="rId2"/>
    <sheet name="Sheet6" sheetId="8" r:id="rId3"/>
  </sheets>
  <functionGroups/>
  <calcPr calcId="125725"/>
</workbook>
</file>

<file path=xl/calcChain.xml><?xml version="1.0" encoding="utf-8"?>
<calcChain xmlns="http://schemas.openxmlformats.org/spreadsheetml/2006/main">
  <c r="Z43" i="5"/>
  <c r="Z34"/>
  <c r="Z33"/>
  <c r="Z32"/>
  <c r="Z31"/>
  <c r="Z30"/>
  <c r="Z29"/>
  <c r="Z28"/>
  <c r="Z27"/>
  <c r="Z26"/>
  <c r="W25"/>
  <c r="Z25" s="1"/>
  <c r="Z24"/>
  <c r="Z23"/>
  <c r="Z22"/>
  <c r="Z21"/>
  <c r="Z20"/>
  <c r="Z19"/>
  <c r="Z18"/>
  <c r="Z17"/>
  <c r="Z16"/>
  <c r="Z15"/>
  <c r="Z14"/>
  <c r="Z13"/>
  <c r="Z12"/>
  <c r="Z35" s="1"/>
  <c r="Z11"/>
  <c r="Z10"/>
  <c r="Z9"/>
  <c r="Z36" l="1"/>
  <c r="W37"/>
  <c r="Z37" s="1"/>
  <c r="W38" s="1"/>
  <c r="Z38" s="1"/>
  <c r="Z39" l="1"/>
  <c r="W41" l="1"/>
  <c r="Z41" s="1"/>
  <c r="W42"/>
  <c r="Z42" s="1"/>
  <c r="W40"/>
  <c r="Z40" s="1"/>
  <c r="Z44" l="1"/>
  <c r="Z45" s="1"/>
  <c r="S5" s="1"/>
  <c r="J45" l="1"/>
  <c r="J46"/>
  <c r="J47"/>
  <c r="J48"/>
  <c r="J49"/>
  <c r="J50"/>
  <c r="J51"/>
  <c r="J44"/>
  <c r="I46" i="4"/>
  <c r="I47"/>
  <c r="I48"/>
  <c r="I49"/>
  <c r="I50"/>
  <c r="I51"/>
  <c r="I52"/>
  <c r="I45"/>
  <c r="U37"/>
  <c r="X37" s="1"/>
  <c r="X52"/>
  <c r="X49"/>
  <c r="X48"/>
  <c r="X47"/>
  <c r="X46"/>
  <c r="X45"/>
  <c r="X44"/>
  <c r="X43"/>
  <c r="X42"/>
  <c r="X41"/>
  <c r="X40"/>
  <c r="X39"/>
  <c r="X36"/>
  <c r="X35"/>
  <c r="X34"/>
  <c r="X33"/>
  <c r="X32"/>
  <c r="X31"/>
  <c r="X30"/>
  <c r="X29"/>
  <c r="X28"/>
  <c r="X27"/>
  <c r="X26"/>
  <c r="X25"/>
  <c r="X24"/>
  <c r="X23"/>
  <c r="X22"/>
  <c r="X21"/>
  <c r="X20"/>
  <c r="X19"/>
  <c r="X18"/>
  <c r="X17"/>
  <c r="X16"/>
  <c r="X15"/>
  <c r="X14"/>
  <c r="X10"/>
  <c r="U13" s="1"/>
  <c r="J52" i="5" l="1"/>
  <c r="E40" s="1"/>
  <c r="I53" i="4"/>
  <c r="D41" s="1"/>
  <c r="U53"/>
  <c r="X53" s="1"/>
  <c r="U54" s="1"/>
  <c r="X54" s="1"/>
  <c r="U12"/>
  <c r="U11"/>
  <c r="X50" l="1"/>
  <c r="X51" s="1"/>
  <c r="X55" s="1"/>
  <c r="U58" l="1"/>
  <c r="X58" s="1"/>
  <c r="U56"/>
  <c r="X56" s="1"/>
  <c r="U59"/>
  <c r="X59" s="1"/>
  <c r="U57"/>
  <c r="X57" s="1"/>
  <c r="X60" l="1"/>
  <c r="X61" s="1"/>
  <c r="X9" s="1"/>
  <c r="U9" l="1"/>
  <c r="S5"/>
</calcChain>
</file>

<file path=xl/sharedStrings.xml><?xml version="1.0" encoding="utf-8"?>
<sst xmlns="http://schemas.openxmlformats.org/spreadsheetml/2006/main" count="537" uniqueCount="279">
  <si>
    <t xml:space="preserve"> </t>
  </si>
  <si>
    <t>건축설계 대가요율</t>
    <phoneticPr fontId="3" type="noConversion"/>
  </si>
  <si>
    <t>(단위 : %)</t>
    <phoneticPr fontId="3" type="noConversion"/>
  </si>
  <si>
    <t>구분</t>
  </si>
  <si>
    <t>연번</t>
  </si>
  <si>
    <t>내용</t>
  </si>
  <si>
    <t>산식</t>
  </si>
  <si>
    <t>기준금액</t>
  </si>
  <si>
    <t>적용</t>
  </si>
  <si>
    <t>단위</t>
  </si>
  <si>
    <t>산출금액</t>
  </si>
  <si>
    <t>종별</t>
  </si>
  <si>
    <t>제3종(복잡)</t>
  </si>
  <si>
    <t>제2종(보통)</t>
  </si>
  <si>
    <t>제1종(단순)</t>
  </si>
  <si>
    <t>기획</t>
  </si>
  <si>
    <t>(1)</t>
  </si>
  <si>
    <t>기획업무</t>
  </si>
  <si>
    <t>(2) x (3~8%)</t>
  </si>
  <si>
    <t>%</t>
  </si>
  <si>
    <t>공사비</t>
  </si>
  <si>
    <t>도서의 양</t>
  </si>
  <si>
    <t>상급</t>
  </si>
  <si>
    <t>중급</t>
  </si>
  <si>
    <t>기본</t>
  </si>
  <si>
    <t>직접비</t>
  </si>
  <si>
    <t>직접인건비</t>
  </si>
  <si>
    <t>(2)</t>
  </si>
  <si>
    <t>기본 설계대가</t>
    <phoneticPr fontId="3" type="noConversion"/>
  </si>
  <si>
    <t>표1, 표2 참조</t>
  </si>
  <si>
    <t>일식</t>
  </si>
  <si>
    <t>직접경비</t>
  </si>
  <si>
    <t>(3)</t>
  </si>
  <si>
    <t>리모델링 설계</t>
  </si>
  <si>
    <t>(2) x 1.5배 - (2)</t>
    <phoneticPr fontId="3" type="noConversion"/>
  </si>
  <si>
    <t>(4)</t>
  </si>
  <si>
    <t>인테리어 설계</t>
  </si>
  <si>
    <t>(5)</t>
  </si>
  <si>
    <t>전통방식적용</t>
  </si>
  <si>
    <t>(6)</t>
  </si>
  <si>
    <t>각종심의</t>
    <phoneticPr fontId="3" type="noConversion"/>
  </si>
  <si>
    <t>실비 x 건</t>
    <phoneticPr fontId="3" type="noConversion"/>
  </si>
  <si>
    <t>건</t>
    <phoneticPr fontId="3" type="noConversion"/>
  </si>
  <si>
    <t>(7)</t>
  </si>
  <si>
    <t xml:space="preserve">지능형(IBS) 인증 </t>
    <phoneticPr fontId="3" type="noConversion"/>
  </si>
  <si>
    <t>(2) x (7.0~5.0)%</t>
    <phoneticPr fontId="3" type="noConversion"/>
  </si>
  <si>
    <t>%</t>
    <phoneticPr fontId="3" type="noConversion"/>
  </si>
  <si>
    <t>(8)</t>
  </si>
  <si>
    <t>에너지효율등급 인증</t>
    <phoneticPr fontId="3" type="noConversion"/>
  </si>
  <si>
    <t>(2) x (7.5~5.5)%</t>
    <phoneticPr fontId="3" type="noConversion"/>
  </si>
  <si>
    <t>(9)</t>
  </si>
  <si>
    <t>친환경 인증</t>
  </si>
  <si>
    <t>(2) x (9.5~8.0)%</t>
    <phoneticPr fontId="3" type="noConversion"/>
  </si>
  <si>
    <t>(10)</t>
  </si>
  <si>
    <t>3D 모델링</t>
    <phoneticPr fontId="3" type="noConversion"/>
  </si>
  <si>
    <t>실비 x 일식</t>
    <phoneticPr fontId="3" type="noConversion"/>
  </si>
  <si>
    <t>일식</t>
    <phoneticPr fontId="3" type="noConversion"/>
  </si>
  <si>
    <t>(11)</t>
  </si>
  <si>
    <t>음향,차음,방음,방진 설계</t>
  </si>
  <si>
    <t>실비 x 일식</t>
  </si>
  <si>
    <t>(12)</t>
  </si>
  <si>
    <t>모형</t>
  </si>
  <si>
    <t>(13)</t>
  </si>
  <si>
    <t>조감도</t>
  </si>
  <si>
    <t>(14)</t>
  </si>
  <si>
    <t>투시도</t>
  </si>
  <si>
    <t>(15)</t>
  </si>
  <si>
    <t>VE</t>
  </si>
  <si>
    <t>(16)</t>
  </si>
  <si>
    <t>FAST TRACK</t>
  </si>
  <si>
    <t>(17)</t>
  </si>
  <si>
    <t>흙막이 상세도</t>
  </si>
  <si>
    <t>(18)</t>
  </si>
  <si>
    <t>상세시공도서</t>
  </si>
  <si>
    <t>(19)</t>
  </si>
  <si>
    <t>BIM</t>
  </si>
  <si>
    <t>(20)</t>
  </si>
  <si>
    <t>등기용도면</t>
  </si>
  <si>
    <t>(21)</t>
  </si>
  <si>
    <t>사용승인도면</t>
  </si>
  <si>
    <t>(22)</t>
  </si>
  <si>
    <t>특기시방서</t>
  </si>
  <si>
    <t>(23)</t>
  </si>
  <si>
    <t>석면 등 조사 검사업무</t>
  </si>
  <si>
    <t>(24)</t>
  </si>
  <si>
    <t>사후설계관리업무</t>
  </si>
  <si>
    <t>(25)</t>
  </si>
  <si>
    <t>외국에서 설계하는 경우</t>
  </si>
  <si>
    <t>(26)</t>
  </si>
  <si>
    <t>외국어사용 설계를 하는 경우</t>
  </si>
  <si>
    <t>(27)</t>
  </si>
  <si>
    <t>특수자료비</t>
  </si>
  <si>
    <t>사용료 x 일식</t>
    <phoneticPr fontId="3" type="noConversion"/>
  </si>
  <si>
    <t>(28)</t>
  </si>
  <si>
    <t>공사견적비(적산)</t>
  </si>
  <si>
    <t>(29)</t>
  </si>
  <si>
    <t>컨설팅 업무 등 건축사상담</t>
  </si>
  <si>
    <t>시간당노임 x 시간</t>
    <phoneticPr fontId="3" type="noConversion"/>
  </si>
  <si>
    <t>시간</t>
  </si>
  <si>
    <t>(30)</t>
  </si>
  <si>
    <t>현장지도비(전기, 설비, 자재, 나무 등)</t>
  </si>
  <si>
    <t>인월수 x 회</t>
  </si>
  <si>
    <t>회</t>
  </si>
  <si>
    <t>1일단가</t>
  </si>
  <si>
    <t>인원</t>
  </si>
  <si>
    <t>소계</t>
  </si>
  <si>
    <t>(31)</t>
  </si>
  <si>
    <t>제출도서의 인쇄 및 청사진 등</t>
  </si>
  <si>
    <t>실비 x 부수</t>
  </si>
  <si>
    <t>부</t>
  </si>
  <si>
    <t>건축사</t>
  </si>
  <si>
    <t>(32)</t>
  </si>
  <si>
    <t>행정대행업무</t>
  </si>
  <si>
    <t>인월수 x 일</t>
  </si>
  <si>
    <t>특급기술자</t>
  </si>
  <si>
    <t>(33)</t>
  </si>
  <si>
    <t>세움터 등록(입력)비용</t>
  </si>
  <si>
    <t>고급기술자</t>
  </si>
  <si>
    <t>(34)</t>
  </si>
  <si>
    <t>건축물 사용 설명서 작성비</t>
  </si>
  <si>
    <t>중급기술자</t>
  </si>
  <si>
    <t>(35)</t>
  </si>
  <si>
    <t>숙박비</t>
  </si>
  <si>
    <t>실비 x 건</t>
  </si>
  <si>
    <t>건</t>
  </si>
  <si>
    <t>초급기술자</t>
  </si>
  <si>
    <t>(36)</t>
  </si>
  <si>
    <t>교통비</t>
  </si>
  <si>
    <t>고급숙련기술자</t>
  </si>
  <si>
    <t>(37)</t>
  </si>
  <si>
    <t>여비</t>
  </si>
  <si>
    <t>중급숙련기술자</t>
  </si>
  <si>
    <t>(38)</t>
  </si>
  <si>
    <t xml:space="preserve">인지대 등 </t>
  </si>
  <si>
    <t>초급숙련기술자</t>
  </si>
  <si>
    <t>(39)</t>
  </si>
  <si>
    <t>기타1(                                )</t>
  </si>
  <si>
    <t>합계</t>
  </si>
  <si>
    <t>-</t>
  </si>
  <si>
    <t>(40)</t>
  </si>
  <si>
    <t>기타2(                                )</t>
  </si>
  <si>
    <t>(2)~(40)</t>
  </si>
  <si>
    <t>-</t>
    <phoneticPr fontId="3" type="noConversion"/>
  </si>
  <si>
    <t>※ 평균 근무일수 : 22일, 적용일 : 2018년 1월 1일 부터</t>
    <phoneticPr fontId="3" type="noConversion"/>
  </si>
  <si>
    <t>계</t>
  </si>
  <si>
    <t>A</t>
  </si>
  <si>
    <t>직접인건비+직접경비</t>
  </si>
  <si>
    <t>종합조정비</t>
  </si>
  <si>
    <t>B</t>
  </si>
  <si>
    <t>수탁비 총합 x 20%</t>
  </si>
  <si>
    <t>제경비(간접비)</t>
  </si>
  <si>
    <t>C</t>
  </si>
  <si>
    <t>직접인건비 x  (110~120)%</t>
  </si>
  <si>
    <t>창작 및 기술료</t>
  </si>
  <si>
    <t>D</t>
  </si>
  <si>
    <t>(직접인건비+ 제경비) x 20~40%</t>
  </si>
  <si>
    <t>합       계</t>
    <phoneticPr fontId="3" type="noConversion"/>
  </si>
  <si>
    <t>A+B+C+D</t>
  </si>
  <si>
    <t>설계대가의 조정</t>
    <phoneticPr fontId="3" type="noConversion"/>
  </si>
  <si>
    <t>E</t>
  </si>
  <si>
    <t>물가의 변동(물가상승률)</t>
  </si>
  <si>
    <t>합계 x 물가상승률(%)</t>
  </si>
  <si>
    <t>F</t>
  </si>
  <si>
    <t>설계변경</t>
  </si>
  <si>
    <t>합계 x 설계변경율(%)</t>
  </si>
  <si>
    <t>G</t>
  </si>
  <si>
    <t>계약내용의 변경</t>
  </si>
  <si>
    <t>합계 x 계약내용변경율(%)</t>
  </si>
  <si>
    <t>H</t>
  </si>
  <si>
    <t>계약에 특별히 정한 내용</t>
  </si>
  <si>
    <t>계약내용에 따른 추가금액</t>
  </si>
  <si>
    <t>총       계</t>
    <phoneticPr fontId="3" type="noConversion"/>
  </si>
  <si>
    <t>A+B+C+D+E+F+G+H</t>
    <phoneticPr fontId="3" type="noConversion"/>
  </si>
  <si>
    <t>VAT(부가가치세) 제외</t>
    <phoneticPr fontId="3" type="noConversion"/>
  </si>
  <si>
    <t>설계대가</t>
  </si>
  <si>
    <t>(A+B+C+D+E+F+G+H) x 1.1</t>
  </si>
  <si>
    <t>VAT(부가가치세) 포함</t>
  </si>
  <si>
    <t>-</t>
    <phoneticPr fontId="3" type="noConversion"/>
  </si>
  <si>
    <t>※ 평균 근무일수 : 22일, 적용일 : 2018년 1월 1일 부터</t>
    <phoneticPr fontId="3" type="noConversion"/>
  </si>
  <si>
    <t>(단위 : %)</t>
    <phoneticPr fontId="3" type="noConversion"/>
  </si>
  <si>
    <t>건축공사감리 대가요율</t>
    <phoneticPr fontId="3" type="noConversion"/>
  </si>
  <si>
    <t>견  적  서</t>
    <phoneticPr fontId="3" type="noConversion"/>
  </si>
  <si>
    <t>건축사사무소 OOO</t>
    <phoneticPr fontId="3" type="noConversion"/>
  </si>
  <si>
    <t>(서명)</t>
    <phoneticPr fontId="3" type="noConversion"/>
  </si>
  <si>
    <t>* 유효기간 : 제출 일로부터 15일</t>
    <phoneticPr fontId="3" type="noConversion"/>
  </si>
  <si>
    <t>제2종(보통)</t>
    <phoneticPr fontId="3" type="noConversion"/>
  </si>
  <si>
    <t>temp</t>
    <phoneticPr fontId="3" type="noConversion"/>
  </si>
  <si>
    <t>(y1 - y2)</t>
    <phoneticPr fontId="3" type="noConversion"/>
  </si>
  <si>
    <t xml:space="preserve"> 1) 용도 :</t>
    <phoneticPr fontId="3" type="noConversion"/>
  </si>
  <si>
    <t>OOO신축공사</t>
    <phoneticPr fontId="3" type="noConversion"/>
  </si>
  <si>
    <t xml:space="preserve"> 2) 지번 :</t>
    <phoneticPr fontId="3" type="noConversion"/>
  </si>
  <si>
    <t>OO도 OO군 OO면 OO리 OO번지</t>
    <phoneticPr fontId="3" type="noConversion"/>
  </si>
  <si>
    <t>상기 건축물에 대한 설계대가를 제출합니다</t>
    <phoneticPr fontId="3" type="noConversion"/>
  </si>
  <si>
    <t>년</t>
    <phoneticPr fontId="3" type="noConversion"/>
  </si>
  <si>
    <t>월</t>
    <phoneticPr fontId="3" type="noConversion"/>
  </si>
  <si>
    <t>일</t>
    <phoneticPr fontId="3" type="noConversion"/>
  </si>
  <si>
    <t>대표(건축사)  홍  길  동</t>
    <phoneticPr fontId="3" type="noConversion"/>
  </si>
  <si>
    <t>연번</t>
    <phoneticPr fontId="3" type="noConversion"/>
  </si>
  <si>
    <t>투입인원</t>
    <phoneticPr fontId="3" type="noConversion"/>
  </si>
  <si>
    <t>투입일</t>
    <phoneticPr fontId="3" type="noConversion"/>
  </si>
  <si>
    <t>비고</t>
    <phoneticPr fontId="3" type="noConversion"/>
  </si>
  <si>
    <t>소계(=투입인원 x 투입일)</t>
    <phoneticPr fontId="3" type="noConversion"/>
  </si>
  <si>
    <t xml:space="preserve">   1. 공사비를 입력하십시오.
   2. 입력시 종별과 도서의 양을 입력하십시오. ( ex. 제3종상급)
   3. 공사비와 종별이 입력이 되면, 직선보간벙에 따라 자동으로 요율이 생성되어 설계대가가 산정됩니다.</t>
    <phoneticPr fontId="3" type="noConversion"/>
  </si>
  <si>
    <t>양식2</t>
    <phoneticPr fontId="3" type="noConversion"/>
  </si>
  <si>
    <t>양식3</t>
    <phoneticPr fontId="3" type="noConversion"/>
  </si>
  <si>
    <t>1. 공사비 :</t>
    <phoneticPr fontId="3" type="noConversion"/>
  </si>
  <si>
    <t>2. 종별    :</t>
    <phoneticPr fontId="3" type="noConversion"/>
  </si>
  <si>
    <t>3. 요율    :</t>
    <phoneticPr fontId="3" type="noConversion"/>
  </si>
  <si>
    <t xml:space="preserve">                      4. 공사비가 5,000억원 이상일 경우 (아래의 공식과 같이 직접 입력하여서 산정하십시오!)</t>
    <phoneticPr fontId="3" type="noConversion"/>
  </si>
  <si>
    <t xml:space="preserve">※ 참조1) : 기본설계대가 = </t>
    <phoneticPr fontId="3" type="noConversion"/>
  </si>
  <si>
    <t xml:space="preserve">※ 참조2) : 기본설계대가 = </t>
    <phoneticPr fontId="3" type="noConversion"/>
  </si>
  <si>
    <t xml:space="preserve"> 건축물의 설계대가 산출표</t>
    <phoneticPr fontId="3" type="noConversion"/>
  </si>
  <si>
    <t xml:space="preserve">※ 설계대가 : </t>
    <phoneticPr fontId="3" type="noConversion"/>
  </si>
  <si>
    <t>양식1</t>
    <phoneticPr fontId="3" type="noConversion"/>
  </si>
  <si>
    <t>표2) 인월수산정방식에 따른 기본설계대가</t>
    <phoneticPr fontId="3" type="noConversion"/>
  </si>
  <si>
    <r>
      <t>※</t>
    </r>
    <r>
      <rPr>
        <sz val="7.7"/>
        <color theme="1"/>
        <rFont val="명조체"/>
        <family val="3"/>
        <charset val="129"/>
      </rPr>
      <t xml:space="preserve"> </t>
    </r>
    <r>
      <rPr>
        <sz val="11"/>
        <color theme="1"/>
        <rFont val="명조체"/>
        <family val="3"/>
        <charset val="129"/>
      </rPr>
      <t xml:space="preserve">기본설계대가는 직접인건비에 해당됩니다. 상기의 참조 1)과 참조 2)의 설계대가중 큰 금액이 </t>
    </r>
    <r>
      <rPr>
        <b/>
        <sz val="11"/>
        <color theme="1"/>
        <rFont val="명조체"/>
        <family val="3"/>
        <charset val="129"/>
      </rPr>
      <t>양식2</t>
    </r>
    <r>
      <rPr>
        <sz val="11"/>
        <color theme="1"/>
        <rFont val="명조체"/>
        <family val="3"/>
        <charset val="129"/>
      </rPr>
      <t>의 건축물의 설계대가 산출표에 자동으로 입력됩니다.</t>
    </r>
    <phoneticPr fontId="3" type="noConversion"/>
  </si>
  <si>
    <t>[참조사항]</t>
    <phoneticPr fontId="3" type="noConversion"/>
  </si>
  <si>
    <t>표1) 공사비요율에 따른 기본설계대가</t>
    <phoneticPr fontId="3" type="noConversion"/>
  </si>
  <si>
    <t>※ 편의상 가로 A4두장으로 인쇄됩니다.</t>
    <phoneticPr fontId="3" type="noConversion"/>
  </si>
  <si>
    <t>3종기본</t>
  </si>
  <si>
    <t>표1) 공사비요율에 따른 기본감리대가</t>
    <phoneticPr fontId="3" type="noConversion"/>
  </si>
  <si>
    <t xml:space="preserve">   1. 공사비를 입력하십시오.
   2. 입력시 종별과 도서의 양을 입력하십시오. ( ex. 제3종(복잡))
   3. 공사비와 종별이 입력이 되면, 직선보간법에 따라 자동으로 요율이 생성되어 기본감리대가가 산정됩니다.</t>
    <phoneticPr fontId="3" type="noConversion"/>
  </si>
  <si>
    <t xml:space="preserve">※ 참조1) : 기본감리대가 = </t>
    <phoneticPr fontId="3" type="noConversion"/>
  </si>
  <si>
    <t>표2) 인월수산정방식에 따른 기본감리대가</t>
    <phoneticPr fontId="3" type="noConversion"/>
  </si>
  <si>
    <t xml:space="preserve">공사감리대가 : </t>
    <phoneticPr fontId="3" type="noConversion"/>
  </si>
  <si>
    <t xml:space="preserve">※ 참조2) : 기본감리대가 = </t>
    <phoneticPr fontId="3" type="noConversion"/>
  </si>
  <si>
    <t>엔지니어링기술부문별 기술자 노임단가(2018년 1월1일 부터 적용)</t>
    <phoneticPr fontId="3" type="noConversion"/>
  </si>
  <si>
    <t>엔지니어링기술부문별 기술자 노임단가(2018년 1월1일 부터 적용)</t>
    <phoneticPr fontId="3" type="noConversion"/>
  </si>
  <si>
    <t>비고</t>
    <phoneticPr fontId="3" type="noConversion"/>
  </si>
  <si>
    <t>-</t>
    <phoneticPr fontId="3" type="noConversion"/>
  </si>
  <si>
    <t>※ 근거 : 건축사법 대가기준 지급 의무화에 따른 법률 등</t>
    <phoneticPr fontId="3" type="noConversion"/>
  </si>
  <si>
    <t>기본 감리대가</t>
    <phoneticPr fontId="3" type="noConversion"/>
  </si>
  <si>
    <t>표1 또는 표2 중 1선택</t>
  </si>
  <si>
    <t>식</t>
  </si>
  <si>
    <t>건축물의 사후관리 매뉴얼 작성</t>
  </si>
  <si>
    <t>인월수 x  일식</t>
  </si>
  <si>
    <t>건축물의 사후평가</t>
  </si>
  <si>
    <t>건설사업관리</t>
  </si>
  <si>
    <t>공사감리 체크리스트 기본외업무</t>
  </si>
  <si>
    <t>건설사업관리(CM)업무</t>
  </si>
  <si>
    <t>지구단위계획 등의 설계기준 작성 업무</t>
  </si>
  <si>
    <t>건축물의 현장조사 및 검사 등에 관한 업무</t>
  </si>
  <si>
    <t>건축공사 준공도서를 작성하는 업무</t>
  </si>
  <si>
    <t>종합계획도(Master Plan) 작성</t>
  </si>
  <si>
    <t>건축공사 사업타당성 분석</t>
  </si>
  <si>
    <t>건축물의 수명비용 분석</t>
  </si>
  <si>
    <t>건축물의 분양관련 지원</t>
  </si>
  <si>
    <t>건축물의 조사 또는 감정에 관한 업무</t>
  </si>
  <si>
    <t>정부요청 양식 외 감리일지 작성료</t>
  </si>
  <si>
    <t>감리앱의 사용료</t>
  </si>
  <si>
    <t>사용료 x 사용월수</t>
  </si>
  <si>
    <t>월</t>
  </si>
  <si>
    <t>감리외 건축사 상담</t>
  </si>
  <si>
    <t>시간당노임 x  시간</t>
    <phoneticPr fontId="3" type="noConversion"/>
  </si>
  <si>
    <t>추가업무 시</t>
  </si>
  <si>
    <t>인월수 x 시간</t>
    <phoneticPr fontId="3" type="noConversion"/>
  </si>
  <si>
    <t>제출도서의 인쇄 등</t>
  </si>
  <si>
    <t>인월수 x 건</t>
  </si>
  <si>
    <t>행정대행업무</t>
    <phoneticPr fontId="3" type="noConversion"/>
  </si>
  <si>
    <t>인월수 x 일식</t>
    <phoneticPr fontId="3" type="noConversion"/>
  </si>
  <si>
    <t>일식</t>
    <phoneticPr fontId="3" type="noConversion"/>
  </si>
  <si>
    <t>(2)~(26)</t>
    <phoneticPr fontId="3" type="noConversion"/>
  </si>
  <si>
    <t>-</t>
    <phoneticPr fontId="3" type="noConversion"/>
  </si>
  <si>
    <t>기술료</t>
  </si>
  <si>
    <t>합       계</t>
  </si>
  <si>
    <t>A+B+C</t>
  </si>
  <si>
    <t>감리대가의 조정</t>
    <phoneticPr fontId="3" type="noConversion"/>
  </si>
  <si>
    <t>합계 x 물가상승률(%)</t>
    <phoneticPr fontId="3" type="noConversion"/>
  </si>
  <si>
    <t>설계변경으로 인한 감리업무 변경</t>
    <phoneticPr fontId="3" type="noConversion"/>
  </si>
  <si>
    <t>합계 x 감리업무변경율(%)</t>
    <phoneticPr fontId="3" type="noConversion"/>
  </si>
  <si>
    <t>합계 x 계약내용변경율(%)</t>
    <phoneticPr fontId="3" type="noConversion"/>
  </si>
  <si>
    <t>계약내용에 따른 추가비용</t>
  </si>
  <si>
    <t>총       계</t>
    <phoneticPr fontId="3" type="noConversion"/>
  </si>
  <si>
    <t>A+B+C+D+E+F+G</t>
  </si>
  <si>
    <t>VAT(부가가치세) 제외</t>
  </si>
  <si>
    <t>감리대가</t>
  </si>
  <si>
    <t>(A+B+C+D+E+F+G) x 1.1</t>
  </si>
  <si>
    <t>상기 건축물에 대한 감리대가를 제출합니다</t>
    <phoneticPr fontId="3" type="noConversion"/>
  </si>
  <si>
    <t>건축물의 공사감리대가 산출표</t>
    <phoneticPr fontId="3" type="noConversion"/>
  </si>
</sst>
</file>

<file path=xl/styles.xml><?xml version="1.0" encoding="utf-8"?>
<styleSheet xmlns="http://schemas.openxmlformats.org/spreadsheetml/2006/main">
  <numFmts count="21">
    <numFmt numFmtId="41" formatCode="_-* #,##0_-;\-* #,##0_-;_-* &quot;-&quot;_-;_-@_-"/>
    <numFmt numFmtId="176" formatCode="#,###,###,###,##0&quot;원&quot;"/>
    <numFmt numFmtId="177" formatCode="000\-000"/>
    <numFmt numFmtId="178" formatCode="&quot;일금&quot;#,###,###,###,##0&quot;원&quot;"/>
    <numFmt numFmtId="179" formatCode="#,###,###,###,##0&quot;원정(VAT포함)&quot;"/>
    <numFmt numFmtId="180" formatCode="0;[Red]0"/>
    <numFmt numFmtId="181" formatCode="0_ "/>
    <numFmt numFmtId="182" formatCode="0.00_ "/>
    <numFmt numFmtId="183" formatCode="0_);[Red]\(0\)"/>
    <numFmt numFmtId="184" formatCode="0.0_ "/>
    <numFmt numFmtId="185" formatCode="#,###,###,###,##0&quot;원(VAT포함)&quot;"/>
    <numFmt numFmtId="186" formatCode="&quot;일금 :&quot;#,###,###,###,##0&quot;원(VAT포함)&quot;"/>
    <numFmt numFmtId="187" formatCode="yyyy&quot;년&quot;"/>
    <numFmt numFmtId="188" formatCode="0.0000%"/>
    <numFmt numFmtId="189" formatCode="###&quot;명&quot;"/>
    <numFmt numFmtId="190" formatCode="##&quot;일&quot;"/>
    <numFmt numFmtId="191" formatCode="#,###&quot;일&quot;"/>
    <numFmt numFmtId="192" formatCode="#,###,###,###,###&quot;원&quot;"/>
    <numFmt numFmtId="193" formatCode="&quot;일금 &quot;#,###,###,###,###&quot;원&quot;"/>
    <numFmt numFmtId="194" formatCode="#,###,###,###,###&quot;원(VAT포함)&quot;"/>
    <numFmt numFmtId="195" formatCode="###,###,###,###&quot;원&quot;"/>
  </numFmts>
  <fonts count="43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6"/>
      <color theme="1"/>
      <name val="맑은 고딕"/>
      <family val="2"/>
      <charset val="129"/>
      <scheme val="minor"/>
    </font>
    <font>
      <b/>
      <sz val="26"/>
      <color theme="1"/>
      <name val="HY견명조"/>
      <family val="1"/>
      <charset val="129"/>
    </font>
    <font>
      <b/>
      <sz val="24"/>
      <color theme="1"/>
      <name val="HY견명조"/>
      <family val="1"/>
      <charset val="129"/>
    </font>
    <font>
      <sz val="11"/>
      <color theme="1"/>
      <name val="맑은 고딕"/>
      <family val="3"/>
      <charset val="129"/>
      <scheme val="minor"/>
    </font>
    <font>
      <sz val="14"/>
      <color theme="1"/>
      <name val="HY견명조"/>
      <family val="1"/>
      <charset val="129"/>
    </font>
    <font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4"/>
      <name val="HY견명조"/>
      <family val="1"/>
      <charset val="129"/>
    </font>
    <font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sz val="11"/>
      <name val="맑은 고딕"/>
      <family val="2"/>
      <charset val="129"/>
      <scheme val="minor"/>
    </font>
    <font>
      <sz val="12"/>
      <color rgb="FFFF0000"/>
      <name val="맑은 고딕"/>
      <family val="3"/>
      <charset val="129"/>
      <scheme val="minor"/>
    </font>
    <font>
      <sz val="16"/>
      <color theme="1"/>
      <name val="맑은 고딕"/>
      <family val="3"/>
      <charset val="129"/>
      <scheme val="minor"/>
    </font>
    <font>
      <sz val="11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4"/>
      <color theme="1"/>
      <name val="맑은 고딕"/>
      <family val="2"/>
      <charset val="129"/>
      <scheme val="minor"/>
    </font>
    <font>
      <sz val="11"/>
      <color theme="1"/>
      <name val="HY견명조"/>
      <family val="1"/>
      <charset val="129"/>
    </font>
    <font>
      <b/>
      <sz val="16"/>
      <color theme="1"/>
      <name val="HY견명조"/>
      <family val="1"/>
      <charset val="129"/>
    </font>
    <font>
      <sz val="11"/>
      <name val="HY견명조"/>
      <family val="1"/>
      <charset val="129"/>
    </font>
    <font>
      <sz val="11"/>
      <color rgb="FFFF0000"/>
      <name val="HY견명조"/>
      <family val="1"/>
      <charset val="129"/>
    </font>
    <font>
      <sz val="13"/>
      <color theme="1"/>
      <name val="HY견명조"/>
      <family val="1"/>
      <charset val="129"/>
    </font>
    <font>
      <b/>
      <sz val="11"/>
      <color theme="1"/>
      <name val="HY견명조"/>
      <family val="1"/>
      <charset val="129"/>
    </font>
    <font>
      <u/>
      <sz val="11"/>
      <color theme="1"/>
      <name val="HY견명조"/>
      <family val="1"/>
      <charset val="129"/>
    </font>
    <font>
      <u/>
      <sz val="12"/>
      <color theme="1"/>
      <name val="HY견명조"/>
      <family val="1"/>
      <charset val="129"/>
    </font>
    <font>
      <b/>
      <sz val="13"/>
      <color theme="1"/>
      <name val="맑은 고딕"/>
      <family val="3"/>
      <charset val="129"/>
    </font>
    <font>
      <b/>
      <sz val="13"/>
      <color theme="1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2"/>
      <color rgb="FF00000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3"/>
      <name val="맑은 고딕"/>
      <family val="3"/>
      <charset val="129"/>
      <scheme val="major"/>
    </font>
    <font>
      <b/>
      <sz val="13"/>
      <color theme="1"/>
      <name val="맑은 고딕"/>
      <family val="3"/>
      <charset val="129"/>
      <scheme val="major"/>
    </font>
    <font>
      <sz val="11"/>
      <color theme="1"/>
      <name val="명조체"/>
      <family val="3"/>
      <charset val="129"/>
    </font>
    <font>
      <sz val="7.7"/>
      <color theme="1"/>
      <name val="명조체"/>
      <family val="3"/>
      <charset val="129"/>
    </font>
    <font>
      <b/>
      <sz val="11"/>
      <color theme="1"/>
      <name val="명조체"/>
      <family val="3"/>
      <charset val="129"/>
    </font>
    <font>
      <sz val="11"/>
      <color theme="0" tint="-0.34998626667073579"/>
      <name val="HY견명조"/>
      <family val="1"/>
      <charset val="129"/>
    </font>
    <font>
      <b/>
      <sz val="13"/>
      <color rgb="FFFF000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1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/>
      <right style="thin">
        <color rgb="FF000000"/>
      </right>
      <top style="medium">
        <color indexed="64"/>
      </top>
      <bottom/>
      <diagonal/>
    </border>
    <border>
      <left style="medium">
        <color auto="1"/>
      </left>
      <right/>
      <top style="thin">
        <color indexed="64"/>
      </top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auto="1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auto="1"/>
      </left>
      <right style="medium">
        <color auto="1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auto="1"/>
      </right>
      <top style="dotted">
        <color indexed="64"/>
      </top>
      <bottom style="medium">
        <color auto="1"/>
      </bottom>
      <diagonal/>
    </border>
    <border>
      <left style="medium">
        <color auto="1"/>
      </left>
      <right/>
      <top style="dotted">
        <color indexed="64"/>
      </top>
      <bottom style="medium">
        <color auto="1"/>
      </bottom>
      <diagonal/>
    </border>
    <border>
      <left/>
      <right/>
      <top style="dotted">
        <color indexed="64"/>
      </top>
      <bottom style="medium">
        <color auto="1"/>
      </bottom>
      <diagonal/>
    </border>
    <border>
      <left/>
      <right style="thin">
        <color indexed="64"/>
      </right>
      <top style="dotted">
        <color indexed="64"/>
      </top>
      <bottom style="medium">
        <color auto="1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auto="1"/>
      </bottom>
      <diagonal/>
    </border>
    <border>
      <left style="thin">
        <color indexed="64"/>
      </left>
      <right/>
      <top style="dotted">
        <color indexed="64"/>
      </top>
      <bottom style="medium">
        <color auto="1"/>
      </bottom>
      <diagonal/>
    </border>
    <border>
      <left style="medium">
        <color indexed="64"/>
      </left>
      <right style="medium">
        <color auto="1"/>
      </right>
      <top style="dotted">
        <color indexed="64"/>
      </top>
      <bottom/>
      <diagonal/>
    </border>
    <border>
      <left style="medium">
        <color indexed="64"/>
      </left>
      <right style="medium">
        <color auto="1"/>
      </right>
      <top/>
      <bottom style="dotted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539">
    <xf numFmtId="0" fontId="0" fillId="0" borderId="0" xfId="0">
      <alignment vertical="center"/>
    </xf>
    <xf numFmtId="0" fontId="4" fillId="0" borderId="0" xfId="0" applyFont="1" applyBorder="1" applyAlignment="1">
      <alignment horizontal="left" vertical="center"/>
    </xf>
    <xf numFmtId="0" fontId="7" fillId="0" borderId="0" xfId="0" applyFont="1" applyBorder="1">
      <alignment vertical="center"/>
    </xf>
    <xf numFmtId="0" fontId="7" fillId="0" borderId="0" xfId="0" applyFont="1" applyBorder="1" applyAlignment="1">
      <alignment horizontal="left" vertical="center"/>
    </xf>
    <xf numFmtId="0" fontId="7" fillId="0" borderId="0" xfId="0" applyFont="1" applyBorder="1" applyAlignment="1">
      <alignment horizontal="center" vertical="center"/>
    </xf>
    <xf numFmtId="0" fontId="10" fillId="0" borderId="0" xfId="0" applyFont="1" applyBorder="1" applyAlignment="1">
      <alignment vertical="center" wrapText="1"/>
    </xf>
    <xf numFmtId="0" fontId="0" fillId="0" borderId="0" xfId="0" applyBorder="1">
      <alignment vertical="center"/>
    </xf>
    <xf numFmtId="0" fontId="10" fillId="0" borderId="0" xfId="0" applyFont="1" applyBorder="1" applyAlignment="1">
      <alignment horizontal="center" vertical="center" wrapText="1"/>
    </xf>
    <xf numFmtId="176" fontId="10" fillId="0" borderId="0" xfId="0" applyNumberFormat="1" applyFont="1" applyBorder="1" applyAlignment="1">
      <alignment horizontal="left" vertical="center" wrapText="1"/>
    </xf>
    <xf numFmtId="0" fontId="10" fillId="0" borderId="0" xfId="0" applyFont="1" applyBorder="1" applyAlignment="1">
      <alignment horizontal="right" vertical="center" wrapText="1"/>
    </xf>
    <xf numFmtId="0" fontId="0" fillId="0" borderId="0" xfId="0" applyFill="1" applyBorder="1">
      <alignment vertical="center"/>
    </xf>
    <xf numFmtId="179" fontId="8" fillId="0" borderId="0" xfId="0" applyNumberFormat="1" applyFont="1" applyFill="1" applyBorder="1" applyAlignment="1">
      <alignment vertical="center"/>
    </xf>
    <xf numFmtId="0" fontId="7" fillId="0" borderId="0" xfId="0" applyFont="1" applyBorder="1" applyAlignment="1">
      <alignment vertical="center" wrapText="1"/>
    </xf>
    <xf numFmtId="0" fontId="0" fillId="0" borderId="0" xfId="0" applyFill="1" applyBorder="1" applyAlignment="1">
      <alignment horizontal="center" vertical="center"/>
    </xf>
    <xf numFmtId="49" fontId="10" fillId="0" borderId="0" xfId="0" applyNumberFormat="1" applyFont="1" applyBorder="1" applyAlignment="1">
      <alignment vertical="center" wrapText="1"/>
    </xf>
    <xf numFmtId="0" fontId="0" fillId="0" borderId="0" xfId="0" applyBorder="1" applyAlignment="1">
      <alignment vertical="center"/>
    </xf>
    <xf numFmtId="0" fontId="13" fillId="0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76" fontId="16" fillId="0" borderId="0" xfId="0" applyNumberFormat="1" applyFont="1" applyFill="1" applyBorder="1">
      <alignment vertical="center"/>
    </xf>
    <xf numFmtId="176" fontId="2" fillId="0" borderId="0" xfId="0" applyNumberFormat="1" applyFont="1" applyFill="1" applyBorder="1">
      <alignment vertical="center"/>
    </xf>
    <xf numFmtId="0" fontId="13" fillId="0" borderId="20" xfId="0" applyFont="1" applyBorder="1" applyAlignment="1">
      <alignment horizontal="center" vertical="center"/>
    </xf>
    <xf numFmtId="0" fontId="0" fillId="0" borderId="0" xfId="0" applyFill="1" applyBorder="1" applyAlignment="1">
      <alignment vertical="center" wrapText="1"/>
    </xf>
    <xf numFmtId="0" fontId="7" fillId="0" borderId="21" xfId="0" applyFont="1" applyBorder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15" fillId="0" borderId="20" xfId="0" applyFont="1" applyBorder="1">
      <alignment vertical="center"/>
    </xf>
    <xf numFmtId="176" fontId="16" fillId="0" borderId="20" xfId="0" applyNumberFormat="1" applyFont="1" applyBorder="1">
      <alignment vertical="center"/>
    </xf>
    <xf numFmtId="0" fontId="0" fillId="0" borderId="20" xfId="0" applyFont="1" applyBorder="1" applyAlignment="1">
      <alignment horizontal="center" vertical="center"/>
    </xf>
    <xf numFmtId="0" fontId="7" fillId="0" borderId="26" xfId="0" applyFont="1" applyBorder="1" applyAlignment="1">
      <alignment horizontal="center" vertical="center"/>
    </xf>
    <xf numFmtId="0" fontId="7" fillId="0" borderId="27" xfId="0" applyFont="1" applyBorder="1" applyAlignment="1">
      <alignment horizontal="center" vertical="center"/>
    </xf>
    <xf numFmtId="0" fontId="10" fillId="0" borderId="28" xfId="0" applyFont="1" applyBorder="1" applyAlignment="1">
      <alignment horizontal="center" vertical="center" wrapText="1"/>
    </xf>
    <xf numFmtId="0" fontId="10" fillId="0" borderId="29" xfId="0" applyFont="1" applyBorder="1" applyAlignment="1">
      <alignment horizontal="center" vertical="center" wrapText="1"/>
    </xf>
    <xf numFmtId="0" fontId="10" fillId="0" borderId="27" xfId="0" applyFont="1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20" xfId="0" applyBorder="1" applyAlignment="1">
      <alignment vertical="center"/>
    </xf>
    <xf numFmtId="176" fontId="2" fillId="2" borderId="20" xfId="0" applyNumberFormat="1" applyFont="1" applyFill="1" applyBorder="1">
      <alignment vertical="center"/>
    </xf>
    <xf numFmtId="0" fontId="7" fillId="0" borderId="20" xfId="0" applyFont="1" applyBorder="1" applyAlignment="1">
      <alignment horizontal="center" vertical="center"/>
    </xf>
    <xf numFmtId="176" fontId="10" fillId="0" borderId="32" xfId="0" applyNumberFormat="1" applyFont="1" applyBorder="1" applyAlignment="1">
      <alignment horizontal="right" vertical="center" wrapText="1"/>
    </xf>
    <xf numFmtId="176" fontId="10" fillId="0" borderId="33" xfId="0" applyNumberFormat="1" applyFont="1" applyBorder="1" applyAlignment="1">
      <alignment horizontal="right" vertical="center" wrapText="1"/>
    </xf>
    <xf numFmtId="182" fontId="10" fillId="0" borderId="34" xfId="0" applyNumberFormat="1" applyFont="1" applyBorder="1" applyAlignment="1">
      <alignment horizontal="right" vertical="center" wrapText="1"/>
    </xf>
    <xf numFmtId="182" fontId="10" fillId="0" borderId="25" xfId="0" applyNumberFormat="1" applyFont="1" applyBorder="1" applyAlignment="1">
      <alignment horizontal="right" vertical="center" wrapText="1"/>
    </xf>
    <xf numFmtId="182" fontId="10" fillId="0" borderId="33" xfId="0" applyNumberFormat="1" applyFont="1" applyBorder="1" applyAlignment="1">
      <alignment horizontal="right" vertical="center" wrapText="1"/>
    </xf>
    <xf numFmtId="49" fontId="15" fillId="0" borderId="38" xfId="0" applyNumberFormat="1" applyFont="1" applyFill="1" applyBorder="1">
      <alignment vertical="center"/>
    </xf>
    <xf numFmtId="176" fontId="2" fillId="0" borderId="38" xfId="0" applyNumberFormat="1" applyFont="1" applyBorder="1">
      <alignment vertical="center"/>
    </xf>
    <xf numFmtId="0" fontId="0" fillId="0" borderId="38" xfId="0" applyBorder="1" applyAlignment="1">
      <alignment horizontal="center" vertical="center"/>
    </xf>
    <xf numFmtId="176" fontId="10" fillId="0" borderId="40" xfId="0" applyNumberFormat="1" applyFont="1" applyBorder="1" applyAlignment="1">
      <alignment horizontal="right" vertical="center" wrapText="1"/>
    </xf>
    <xf numFmtId="176" fontId="10" fillId="0" borderId="41" xfId="0" applyNumberFormat="1" applyFont="1" applyBorder="1" applyAlignment="1">
      <alignment horizontal="right" vertical="center" wrapText="1"/>
    </xf>
    <xf numFmtId="182" fontId="10" fillId="0" borderId="42" xfId="0" applyNumberFormat="1" applyFont="1" applyBorder="1" applyAlignment="1">
      <alignment horizontal="right" vertical="center" wrapText="1"/>
    </xf>
    <xf numFmtId="182" fontId="10" fillId="0" borderId="31" xfId="0" applyNumberFormat="1" applyFont="1" applyBorder="1" applyAlignment="1">
      <alignment horizontal="right" vertical="center" wrapText="1"/>
    </xf>
    <xf numFmtId="182" fontId="10" fillId="0" borderId="41" xfId="0" applyNumberFormat="1" applyFont="1" applyBorder="1" applyAlignment="1">
      <alignment horizontal="right" vertical="center" wrapText="1"/>
    </xf>
    <xf numFmtId="49" fontId="15" fillId="0" borderId="45" xfId="0" applyNumberFormat="1" applyFont="1" applyFill="1" applyBorder="1">
      <alignment vertical="center"/>
    </xf>
    <xf numFmtId="176" fontId="2" fillId="0" borderId="45" xfId="0" applyNumberFormat="1" applyFont="1" applyBorder="1">
      <alignment vertical="center"/>
    </xf>
    <xf numFmtId="0" fontId="0" fillId="0" borderId="45" xfId="0" applyBorder="1" applyAlignment="1">
      <alignment horizontal="center" vertical="center"/>
    </xf>
    <xf numFmtId="0" fontId="15" fillId="0" borderId="0" xfId="0" applyFont="1" applyFill="1" applyBorder="1">
      <alignment vertical="center"/>
    </xf>
    <xf numFmtId="176" fontId="2" fillId="0" borderId="45" xfId="0" applyNumberFormat="1" applyFont="1" applyBorder="1" applyAlignment="1">
      <alignment horizontal="right" vertical="center"/>
    </xf>
    <xf numFmtId="176" fontId="10" fillId="0" borderId="26" xfId="0" applyNumberFormat="1" applyFont="1" applyBorder="1" applyAlignment="1">
      <alignment horizontal="right" vertical="center" wrapText="1"/>
    </xf>
    <xf numFmtId="176" fontId="10" fillId="0" borderId="27" xfId="0" applyNumberFormat="1" applyFont="1" applyBorder="1" applyAlignment="1">
      <alignment horizontal="right" vertical="center" wrapText="1"/>
    </xf>
    <xf numFmtId="182" fontId="10" fillId="0" borderId="28" xfId="0" applyNumberFormat="1" applyFont="1" applyBorder="1" applyAlignment="1">
      <alignment horizontal="right" vertical="center" wrapText="1"/>
    </xf>
    <xf numFmtId="182" fontId="10" fillId="0" borderId="29" xfId="0" applyNumberFormat="1" applyFont="1" applyBorder="1" applyAlignment="1">
      <alignment horizontal="right" vertical="center" wrapText="1"/>
    </xf>
    <xf numFmtId="182" fontId="10" fillId="0" borderId="27" xfId="0" applyNumberFormat="1" applyFont="1" applyBorder="1" applyAlignment="1">
      <alignment horizontal="right" vertical="center" wrapText="1"/>
    </xf>
    <xf numFmtId="176" fontId="10" fillId="0" borderId="0" xfId="0" applyNumberFormat="1" applyFont="1" applyBorder="1" applyAlignment="1">
      <alignment horizontal="right" vertical="center" wrapText="1"/>
    </xf>
    <xf numFmtId="0" fontId="18" fillId="0" borderId="0" xfId="0" applyFont="1" applyBorder="1" applyAlignment="1">
      <alignment horizontal="left" vertical="center"/>
    </xf>
    <xf numFmtId="49" fontId="15" fillId="0" borderId="45" xfId="0" applyNumberFormat="1" applyFont="1" applyBorder="1">
      <alignment vertical="center"/>
    </xf>
    <xf numFmtId="176" fontId="16" fillId="0" borderId="45" xfId="0" applyNumberFormat="1" applyFont="1" applyBorder="1">
      <alignment vertical="center"/>
    </xf>
    <xf numFmtId="181" fontId="2" fillId="0" borderId="45" xfId="2" applyNumberFormat="1" applyFont="1" applyBorder="1">
      <alignment vertical="center"/>
    </xf>
    <xf numFmtId="0" fontId="7" fillId="0" borderId="48" xfId="0" applyFont="1" applyBorder="1" applyAlignment="1">
      <alignment horizontal="center" vertical="center"/>
    </xf>
    <xf numFmtId="0" fontId="7" fillId="0" borderId="49" xfId="0" applyFont="1" applyBorder="1" applyAlignment="1">
      <alignment horizontal="center" vertical="center"/>
    </xf>
    <xf numFmtId="176" fontId="7" fillId="0" borderId="33" xfId="0" applyNumberFormat="1" applyFont="1" applyBorder="1">
      <alignment vertical="center"/>
    </xf>
    <xf numFmtId="0" fontId="7" fillId="0" borderId="54" xfId="0" applyFont="1" applyBorder="1" applyAlignment="1">
      <alignment horizontal="center" vertical="center"/>
    </xf>
    <xf numFmtId="0" fontId="7" fillId="0" borderId="55" xfId="0" applyFont="1" applyBorder="1" applyAlignment="1">
      <alignment horizontal="center" vertical="center"/>
    </xf>
    <xf numFmtId="176" fontId="7" fillId="0" borderId="48" xfId="0" applyNumberFormat="1" applyFont="1" applyBorder="1">
      <alignment vertical="center"/>
    </xf>
    <xf numFmtId="49" fontId="15" fillId="0" borderId="58" xfId="0" applyNumberFormat="1" applyFont="1" applyBorder="1">
      <alignment vertical="center"/>
    </xf>
    <xf numFmtId="176" fontId="2" fillId="0" borderId="58" xfId="0" applyNumberFormat="1" applyFont="1" applyBorder="1">
      <alignment vertical="center"/>
    </xf>
    <xf numFmtId="181" fontId="2" fillId="0" borderId="58" xfId="2" applyNumberFormat="1" applyFont="1" applyBorder="1">
      <alignment vertical="center"/>
    </xf>
    <xf numFmtId="0" fontId="0" fillId="0" borderId="58" xfId="0" applyBorder="1" applyAlignment="1">
      <alignment horizontal="center" vertical="center"/>
    </xf>
    <xf numFmtId="0" fontId="7" fillId="0" borderId="0" xfId="0" applyFont="1">
      <alignment vertical="center"/>
    </xf>
    <xf numFmtId="0" fontId="20" fillId="0" borderId="20" xfId="0" applyFont="1" applyBorder="1" applyAlignment="1">
      <alignment horizontal="center" vertical="center"/>
    </xf>
    <xf numFmtId="176" fontId="20" fillId="0" borderId="20" xfId="0" applyNumberFormat="1" applyFont="1" applyBorder="1" applyAlignment="1">
      <alignment horizontal="center" vertical="center"/>
    </xf>
    <xf numFmtId="9" fontId="20" fillId="0" borderId="20" xfId="2" applyFon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0" fillId="0" borderId="59" xfId="0" applyFont="1" applyBorder="1" applyAlignment="1">
      <alignment horizontal="left" vertical="center"/>
    </xf>
    <xf numFmtId="176" fontId="20" fillId="0" borderId="59" xfId="0" applyNumberFormat="1" applyFont="1" applyBorder="1" applyAlignment="1">
      <alignment horizontal="center" vertical="center"/>
    </xf>
    <xf numFmtId="9" fontId="20" fillId="0" borderId="59" xfId="2" applyFont="1" applyBorder="1" applyAlignment="1">
      <alignment horizontal="center" vertical="center"/>
    </xf>
    <xf numFmtId="0" fontId="0" fillId="0" borderId="59" xfId="0" applyBorder="1" applyAlignment="1">
      <alignment horizontal="center" vertical="center"/>
    </xf>
    <xf numFmtId="0" fontId="15" fillId="0" borderId="45" xfId="0" applyFont="1" applyBorder="1" applyAlignment="1">
      <alignment vertical="center"/>
    </xf>
    <xf numFmtId="181" fontId="0" fillId="0" borderId="45" xfId="2" applyNumberFormat="1" applyFont="1" applyBorder="1">
      <alignment vertical="center"/>
    </xf>
    <xf numFmtId="0" fontId="0" fillId="0" borderId="45" xfId="0" applyFont="1" applyBorder="1" applyAlignment="1">
      <alignment horizontal="center" vertical="center"/>
    </xf>
    <xf numFmtId="0" fontId="15" fillId="0" borderId="45" xfId="0" applyFont="1" applyBorder="1">
      <alignment vertical="center"/>
    </xf>
    <xf numFmtId="0" fontId="15" fillId="0" borderId="60" xfId="0" applyFont="1" applyBorder="1">
      <alignment vertical="center"/>
    </xf>
    <xf numFmtId="181" fontId="2" fillId="0" borderId="60" xfId="2" applyNumberFormat="1" applyFont="1" applyBorder="1">
      <alignment vertical="center"/>
    </xf>
    <xf numFmtId="0" fontId="0" fillId="0" borderId="60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176" fontId="16" fillId="0" borderId="20" xfId="0" applyNumberFormat="1" applyFont="1" applyBorder="1" applyAlignment="1">
      <alignment horizontal="center" vertical="center"/>
    </xf>
    <xf numFmtId="0" fontId="0" fillId="0" borderId="59" xfId="0" applyBorder="1">
      <alignment vertical="center"/>
    </xf>
    <xf numFmtId="181" fontId="2" fillId="0" borderId="59" xfId="2" applyNumberFormat="1" applyFont="1" applyBorder="1">
      <alignment vertical="center"/>
    </xf>
    <xf numFmtId="0" fontId="0" fillId="0" borderId="45" xfId="0" applyBorder="1" applyAlignment="1">
      <alignment vertical="center" wrapText="1"/>
    </xf>
    <xf numFmtId="0" fontId="0" fillId="0" borderId="45" xfId="0" applyBorder="1">
      <alignment vertical="center"/>
    </xf>
    <xf numFmtId="0" fontId="0" fillId="0" borderId="60" xfId="0" applyBorder="1">
      <alignment vertical="center"/>
    </xf>
    <xf numFmtId="176" fontId="2" fillId="0" borderId="60" xfId="0" applyNumberFormat="1" applyFont="1" applyBorder="1">
      <alignment vertical="center"/>
    </xf>
    <xf numFmtId="183" fontId="2" fillId="0" borderId="60" xfId="2" applyNumberFormat="1" applyFont="1" applyBorder="1">
      <alignment vertical="center"/>
    </xf>
    <xf numFmtId="0" fontId="0" fillId="0" borderId="61" xfId="0" applyBorder="1">
      <alignment vertical="center"/>
    </xf>
    <xf numFmtId="176" fontId="16" fillId="0" borderId="61" xfId="0" applyNumberFormat="1" applyFont="1" applyBorder="1" applyAlignment="1">
      <alignment horizontal="center" vertical="center"/>
    </xf>
    <xf numFmtId="183" fontId="20" fillId="0" borderId="61" xfId="2" applyNumberFormat="1" applyFont="1" applyBorder="1" applyAlignment="1">
      <alignment horizontal="center" vertical="center"/>
    </xf>
    <xf numFmtId="0" fontId="20" fillId="0" borderId="61" xfId="0" applyFont="1" applyBorder="1" applyAlignment="1">
      <alignment horizontal="center" vertical="center"/>
    </xf>
    <xf numFmtId="0" fontId="22" fillId="3" borderId="20" xfId="0" applyFont="1" applyFill="1" applyBorder="1" applyAlignment="1">
      <alignment horizontal="left" vertical="center"/>
    </xf>
    <xf numFmtId="176" fontId="16" fillId="3" borderId="20" xfId="0" applyNumberFormat="1" applyFont="1" applyFill="1" applyBorder="1" applyAlignment="1">
      <alignment horizontal="center" vertical="center"/>
    </xf>
    <xf numFmtId="184" fontId="20" fillId="3" borderId="20" xfId="2" applyNumberFormat="1" applyFont="1" applyFill="1" applyBorder="1" applyAlignment="1">
      <alignment horizontal="center" vertical="center"/>
    </xf>
    <xf numFmtId="0" fontId="20" fillId="3" borderId="16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left" vertical="center"/>
    </xf>
    <xf numFmtId="0" fontId="7" fillId="0" borderId="0" xfId="0" applyFont="1" applyBorder="1">
      <alignment vertical="center"/>
    </xf>
    <xf numFmtId="0" fontId="0" fillId="0" borderId="10" xfId="0" applyFont="1" applyBorder="1">
      <alignment vertical="center"/>
    </xf>
    <xf numFmtId="176" fontId="7" fillId="0" borderId="0" xfId="0" applyNumberFormat="1" applyFont="1" applyBorder="1">
      <alignment vertical="center"/>
    </xf>
    <xf numFmtId="49" fontId="7" fillId="0" borderId="0" xfId="0" applyNumberFormat="1" applyFont="1" applyBorder="1" applyAlignment="1">
      <alignment horizontal="left" vertical="center" wrapText="1"/>
    </xf>
    <xf numFmtId="0" fontId="7" fillId="0" borderId="0" xfId="0" applyFont="1" applyBorder="1" applyAlignment="1">
      <alignment horizontal="center" vertical="center"/>
    </xf>
    <xf numFmtId="0" fontId="7" fillId="0" borderId="0" xfId="0" applyFont="1" applyBorder="1" applyAlignment="1">
      <alignment vertical="center"/>
    </xf>
    <xf numFmtId="176" fontId="7" fillId="0" borderId="0" xfId="0" applyNumberFormat="1" applyFont="1" applyFill="1" applyBorder="1" applyAlignment="1">
      <alignment vertical="center"/>
    </xf>
    <xf numFmtId="176" fontId="7" fillId="0" borderId="0" xfId="0" applyNumberFormat="1" applyFont="1" applyFill="1" applyBorder="1" applyAlignment="1">
      <alignment horizontal="center" vertical="center"/>
    </xf>
    <xf numFmtId="177" fontId="23" fillId="0" borderId="4" xfId="0" applyNumberFormat="1" applyFont="1" applyBorder="1" applyAlignment="1">
      <alignment vertical="center" wrapText="1"/>
    </xf>
    <xf numFmtId="177" fontId="23" fillId="0" borderId="0" xfId="0" applyNumberFormat="1" applyFont="1" applyBorder="1" applyAlignment="1">
      <alignment vertical="center" wrapText="1"/>
    </xf>
    <xf numFmtId="0" fontId="23" fillId="0" borderId="0" xfId="0" applyFont="1" applyBorder="1">
      <alignment vertical="center"/>
    </xf>
    <xf numFmtId="0" fontId="23" fillId="0" borderId="5" xfId="0" applyFont="1" applyBorder="1">
      <alignment vertical="center"/>
    </xf>
    <xf numFmtId="0" fontId="23" fillId="0" borderId="4" xfId="0" applyFont="1" applyFill="1" applyBorder="1">
      <alignment vertical="center"/>
    </xf>
    <xf numFmtId="0" fontId="23" fillId="0" borderId="0" xfId="0" applyFont="1" applyFill="1" applyBorder="1">
      <alignment vertical="center"/>
    </xf>
    <xf numFmtId="0" fontId="23" fillId="0" borderId="5" xfId="0" applyFont="1" applyFill="1" applyBorder="1">
      <alignment vertical="center"/>
    </xf>
    <xf numFmtId="0" fontId="23" fillId="0" borderId="0" xfId="0" applyFont="1" applyFill="1" applyBorder="1" applyAlignment="1">
      <alignment vertical="center"/>
    </xf>
    <xf numFmtId="0" fontId="23" fillId="0" borderId="5" xfId="0" applyFont="1" applyFill="1" applyBorder="1" applyAlignment="1">
      <alignment vertical="center"/>
    </xf>
    <xf numFmtId="0" fontId="23" fillId="0" borderId="0" xfId="0" applyFont="1" applyFill="1" applyBorder="1" applyAlignment="1">
      <alignment horizontal="center" vertical="center"/>
    </xf>
    <xf numFmtId="0" fontId="23" fillId="0" borderId="4" xfId="0" applyFont="1" applyFill="1" applyBorder="1" applyAlignment="1">
      <alignment vertical="center"/>
    </xf>
    <xf numFmtId="176" fontId="25" fillId="0" borderId="0" xfId="0" applyNumberFormat="1" applyFont="1" applyFill="1" applyBorder="1">
      <alignment vertical="center"/>
    </xf>
    <xf numFmtId="0" fontId="23" fillId="0" borderId="4" xfId="0" applyFont="1" applyFill="1" applyBorder="1" applyAlignment="1">
      <alignment vertical="center" wrapText="1"/>
    </xf>
    <xf numFmtId="180" fontId="23" fillId="0" borderId="0" xfId="2" applyNumberFormat="1" applyFont="1" applyFill="1" applyBorder="1">
      <alignment vertical="center"/>
    </xf>
    <xf numFmtId="176" fontId="23" fillId="0" borderId="0" xfId="0" applyNumberFormat="1" applyFont="1" applyFill="1" applyBorder="1">
      <alignment vertical="center"/>
    </xf>
    <xf numFmtId="0" fontId="23" fillId="0" borderId="5" xfId="0" applyFont="1" applyFill="1" applyBorder="1" applyAlignment="1">
      <alignment vertical="center" wrapText="1"/>
    </xf>
    <xf numFmtId="49" fontId="23" fillId="0" borderId="0" xfId="0" applyNumberFormat="1" applyFont="1" applyFill="1" applyBorder="1">
      <alignment vertical="center"/>
    </xf>
    <xf numFmtId="176" fontId="26" fillId="0" borderId="0" xfId="0" applyNumberFormat="1" applyFont="1" applyFill="1" applyBorder="1">
      <alignment vertical="center"/>
    </xf>
    <xf numFmtId="181" fontId="26" fillId="0" borderId="0" xfId="2" applyNumberFormat="1" applyFont="1" applyFill="1" applyBorder="1">
      <alignment vertical="center"/>
    </xf>
    <xf numFmtId="0" fontId="23" fillId="0" borderId="0" xfId="0" applyFont="1" applyFill="1" applyBorder="1" applyAlignment="1">
      <alignment vertical="center" wrapText="1"/>
    </xf>
    <xf numFmtId="49" fontId="23" fillId="0" borderId="0" xfId="0" applyNumberFormat="1" applyFont="1" applyFill="1" applyBorder="1" applyAlignment="1">
      <alignment horizontal="center" vertical="center"/>
    </xf>
    <xf numFmtId="49" fontId="23" fillId="0" borderId="0" xfId="0" applyNumberFormat="1" applyFont="1" applyFill="1" applyBorder="1" applyAlignment="1">
      <alignment horizontal="center" vertical="center" wrapText="1"/>
    </xf>
    <xf numFmtId="0" fontId="23" fillId="0" borderId="0" xfId="0" applyFont="1" applyFill="1" applyBorder="1" applyAlignment="1">
      <alignment horizontal="center" vertical="center"/>
    </xf>
    <xf numFmtId="0" fontId="23" fillId="0" borderId="24" xfId="0" applyFont="1" applyFill="1" applyBorder="1" applyAlignment="1">
      <alignment vertical="center" wrapText="1"/>
    </xf>
    <xf numFmtId="0" fontId="23" fillId="0" borderId="19" xfId="0" applyFont="1" applyFill="1" applyBorder="1" applyAlignment="1">
      <alignment vertical="center" wrapText="1"/>
    </xf>
    <xf numFmtId="49" fontId="23" fillId="0" borderId="19" xfId="0" applyNumberFormat="1" applyFont="1" applyFill="1" applyBorder="1" applyAlignment="1">
      <alignment horizontal="center" vertical="center" wrapText="1"/>
    </xf>
    <xf numFmtId="0" fontId="23" fillId="0" borderId="19" xfId="0" applyFont="1" applyFill="1" applyBorder="1">
      <alignment vertical="center"/>
    </xf>
    <xf numFmtId="49" fontId="23" fillId="0" borderId="19" xfId="0" applyNumberFormat="1" applyFont="1" applyFill="1" applyBorder="1">
      <alignment vertical="center"/>
    </xf>
    <xf numFmtId="176" fontId="26" fillId="0" borderId="19" xfId="0" applyNumberFormat="1" applyFont="1" applyFill="1" applyBorder="1">
      <alignment vertical="center"/>
    </xf>
    <xf numFmtId="181" fontId="26" fillId="0" borderId="19" xfId="2" applyNumberFormat="1" applyFont="1" applyFill="1" applyBorder="1">
      <alignment vertical="center"/>
    </xf>
    <xf numFmtId="0" fontId="23" fillId="0" borderId="19" xfId="0" applyFont="1" applyFill="1" applyBorder="1" applyAlignment="1">
      <alignment horizontal="center" vertical="center"/>
    </xf>
    <xf numFmtId="176" fontId="23" fillId="0" borderId="19" xfId="0" applyNumberFormat="1" applyFont="1" applyFill="1" applyBorder="1">
      <alignment vertical="center"/>
    </xf>
    <xf numFmtId="0" fontId="23" fillId="0" borderId="46" xfId="0" applyFont="1" applyFill="1" applyBorder="1" applyAlignment="1">
      <alignment vertical="center"/>
    </xf>
    <xf numFmtId="0" fontId="23" fillId="0" borderId="0" xfId="0" applyFont="1" applyFill="1" applyBorder="1" applyAlignment="1">
      <alignment horizontal="left" vertical="center"/>
    </xf>
    <xf numFmtId="0" fontId="23" fillId="0" borderId="0" xfId="0" applyFont="1" applyFill="1" applyBorder="1" applyAlignment="1">
      <alignment horizontal="left" vertical="center" wrapText="1"/>
    </xf>
    <xf numFmtId="0" fontId="0" fillId="0" borderId="19" xfId="0" applyBorder="1">
      <alignment vertical="center"/>
    </xf>
    <xf numFmtId="31" fontId="23" fillId="0" borderId="0" xfId="0" applyNumberFormat="1" applyFont="1" applyFill="1" applyBorder="1" applyAlignment="1">
      <alignment vertical="center"/>
    </xf>
    <xf numFmtId="0" fontId="23" fillId="0" borderId="0" xfId="0" applyNumberFormat="1" applyFont="1" applyFill="1" applyBorder="1" applyAlignment="1">
      <alignment vertical="center"/>
    </xf>
    <xf numFmtId="0" fontId="23" fillId="0" borderId="5" xfId="0" applyFont="1" applyFill="1" applyBorder="1" applyAlignment="1">
      <alignment horizontal="center" vertical="center"/>
    </xf>
    <xf numFmtId="49" fontId="10" fillId="0" borderId="0" xfId="0" applyNumberFormat="1" applyFont="1" applyBorder="1" applyAlignment="1">
      <alignment horizontal="center" vertical="center" wrapText="1"/>
    </xf>
    <xf numFmtId="0" fontId="23" fillId="0" borderId="0" xfId="0" applyFont="1" applyFill="1" applyBorder="1" applyAlignment="1">
      <alignment horizontal="left" vertical="center"/>
    </xf>
    <xf numFmtId="0" fontId="28" fillId="0" borderId="4" xfId="0" applyFont="1" applyFill="1" applyBorder="1" applyAlignment="1">
      <alignment vertical="center"/>
    </xf>
    <xf numFmtId="0" fontId="25" fillId="0" borderId="0" xfId="0" applyFont="1" applyFill="1" applyBorder="1" applyAlignment="1">
      <alignment horizontal="left" vertical="center"/>
    </xf>
    <xf numFmtId="0" fontId="25" fillId="0" borderId="4" xfId="0" applyFont="1" applyFill="1" applyBorder="1" applyAlignment="1">
      <alignment horizontal="right" vertical="center"/>
    </xf>
    <xf numFmtId="178" fontId="23" fillId="0" borderId="0" xfId="0" applyNumberFormat="1" applyFont="1" applyFill="1" applyBorder="1" applyAlignment="1">
      <alignment vertical="center"/>
    </xf>
    <xf numFmtId="0" fontId="26" fillId="0" borderId="0" xfId="0" applyFont="1" applyFill="1" applyBorder="1" applyAlignment="1">
      <alignment horizontal="center" vertical="center"/>
    </xf>
    <xf numFmtId="0" fontId="0" fillId="0" borderId="19" xfId="0" applyFont="1" applyBorder="1">
      <alignment vertical="center"/>
    </xf>
    <xf numFmtId="0" fontId="24" fillId="0" borderId="1" xfId="0" applyFont="1" applyBorder="1" applyAlignment="1">
      <alignment vertical="center" wrapText="1"/>
    </xf>
    <xf numFmtId="0" fontId="24" fillId="0" borderId="2" xfId="0" applyFont="1" applyBorder="1" applyAlignment="1">
      <alignment vertical="center" wrapText="1"/>
    </xf>
    <xf numFmtId="0" fontId="24" fillId="0" borderId="3" xfId="0" applyFont="1" applyBorder="1" applyAlignment="1">
      <alignment vertical="center" wrapText="1"/>
    </xf>
    <xf numFmtId="0" fontId="23" fillId="0" borderId="0" xfId="0" applyFont="1" applyFill="1" applyBorder="1" applyAlignment="1">
      <alignment horizontal="center" vertical="center" wrapText="1"/>
    </xf>
    <xf numFmtId="0" fontId="24" fillId="0" borderId="4" xfId="0" applyFont="1" applyBorder="1" applyAlignment="1">
      <alignment vertical="center" wrapText="1"/>
    </xf>
    <xf numFmtId="0" fontId="24" fillId="0" borderId="0" xfId="0" applyFont="1" applyBorder="1" applyAlignment="1">
      <alignment vertical="center" wrapText="1"/>
    </xf>
    <xf numFmtId="0" fontId="24" fillId="0" borderId="5" xfId="0" applyFont="1" applyBorder="1" applyAlignment="1">
      <alignment vertical="center" wrapText="1"/>
    </xf>
    <xf numFmtId="187" fontId="23" fillId="0" borderId="0" xfId="0" applyNumberFormat="1" applyFont="1" applyFill="1" applyBorder="1" applyAlignment="1">
      <alignment vertical="center"/>
    </xf>
    <xf numFmtId="0" fontId="23" fillId="0" borderId="0" xfId="0" applyNumberFormat="1" applyFont="1" applyFill="1" applyBorder="1" applyAlignment="1">
      <alignment horizontal="right" vertical="center"/>
    </xf>
    <xf numFmtId="181" fontId="23" fillId="0" borderId="0" xfId="2" applyNumberFormat="1" applyFont="1" applyFill="1" applyBorder="1" applyAlignment="1">
      <alignment horizontal="right" vertical="center"/>
    </xf>
    <xf numFmtId="49" fontId="23" fillId="0" borderId="0" xfId="0" applyNumberFormat="1" applyFont="1" applyFill="1" applyBorder="1" applyAlignment="1">
      <alignment horizontal="center" vertical="center"/>
    </xf>
    <xf numFmtId="0" fontId="14" fillId="0" borderId="16" xfId="0" applyFont="1" applyBorder="1" applyAlignment="1">
      <alignment horizontal="center" vertical="center"/>
    </xf>
    <xf numFmtId="0" fontId="13" fillId="0" borderId="18" xfId="0" applyFont="1" applyBorder="1" applyAlignment="1">
      <alignment horizontal="center" vertical="center"/>
    </xf>
    <xf numFmtId="0" fontId="13" fillId="0" borderId="16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49" fontId="0" fillId="0" borderId="16" xfId="0" applyNumberFormat="1" applyBorder="1" applyAlignment="1">
      <alignment horizontal="center" vertical="center" wrapText="1"/>
    </xf>
    <xf numFmtId="0" fontId="15" fillId="0" borderId="16" xfId="0" applyFont="1" applyBorder="1" applyAlignment="1">
      <alignment horizontal="center" vertical="center"/>
    </xf>
    <xf numFmtId="0" fontId="0" fillId="0" borderId="30" xfId="0" applyBorder="1" applyAlignment="1">
      <alignment horizontal="center" vertical="center" wrapText="1"/>
    </xf>
    <xf numFmtId="49" fontId="0" fillId="0" borderId="16" xfId="0" applyNumberFormat="1" applyBorder="1" applyAlignment="1">
      <alignment horizontal="center" vertical="center"/>
    </xf>
    <xf numFmtId="0" fontId="0" fillId="0" borderId="35" xfId="0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 wrapText="1"/>
    </xf>
    <xf numFmtId="0" fontId="15" fillId="0" borderId="36" xfId="0" applyFont="1" applyFill="1" applyBorder="1" applyAlignment="1">
      <alignment vertical="center"/>
    </xf>
    <xf numFmtId="49" fontId="0" fillId="0" borderId="4" xfId="0" applyNumberFormat="1" applyBorder="1" applyAlignment="1">
      <alignment horizontal="center" vertical="center"/>
    </xf>
    <xf numFmtId="0" fontId="15" fillId="0" borderId="43" xfId="0" applyFont="1" applyFill="1" applyBorder="1" applyAlignment="1">
      <alignment vertical="center"/>
    </xf>
    <xf numFmtId="49" fontId="0" fillId="0" borderId="4" xfId="0" applyNumberFormat="1" applyBorder="1" applyAlignment="1">
      <alignment horizontal="center" vertical="center" wrapText="1"/>
    </xf>
    <xf numFmtId="0" fontId="15" fillId="0" borderId="43" xfId="0" applyFont="1" applyBorder="1" applyAlignment="1">
      <alignment vertical="center"/>
    </xf>
    <xf numFmtId="49" fontId="0" fillId="0" borderId="24" xfId="0" applyNumberFormat="1" applyBorder="1" applyAlignment="1">
      <alignment horizontal="center" vertical="center" wrapText="1"/>
    </xf>
    <xf numFmtId="0" fontId="15" fillId="0" borderId="56" xfId="0" applyFont="1" applyBorder="1" applyAlignment="1">
      <alignment vertical="center"/>
    </xf>
    <xf numFmtId="0" fontId="0" fillId="0" borderId="17" xfId="0" applyBorder="1" applyAlignment="1">
      <alignment horizontal="center" vertical="center"/>
    </xf>
    <xf numFmtId="0" fontId="19" fillId="0" borderId="16" xfId="0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19" fillId="0" borderId="36" xfId="0" applyFont="1" applyBorder="1" applyAlignment="1">
      <alignment vertical="center"/>
    </xf>
    <xf numFmtId="0" fontId="0" fillId="0" borderId="44" xfId="0" applyBorder="1" applyAlignment="1">
      <alignment horizontal="center" vertical="center"/>
    </xf>
    <xf numFmtId="0" fontId="19" fillId="0" borderId="43" xfId="0" applyFont="1" applyBorder="1" applyAlignment="1">
      <alignment vertical="center"/>
    </xf>
    <xf numFmtId="0" fontId="0" fillId="0" borderId="57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15" fillId="0" borderId="56" xfId="0" applyFont="1" applyBorder="1" applyAlignment="1">
      <alignment horizontal="left" vertical="center"/>
    </xf>
    <xf numFmtId="0" fontId="0" fillId="0" borderId="36" xfId="0" applyBorder="1" applyAlignment="1">
      <alignment vertical="center"/>
    </xf>
    <xf numFmtId="0" fontId="0" fillId="0" borderId="43" xfId="0" applyBorder="1" applyAlignment="1">
      <alignment vertical="center" wrapText="1"/>
    </xf>
    <xf numFmtId="0" fontId="0" fillId="0" borderId="43" xfId="0" applyBorder="1" applyAlignment="1">
      <alignment vertical="center"/>
    </xf>
    <xf numFmtId="0" fontId="0" fillId="0" borderId="56" xfId="0" applyBorder="1" applyAlignment="1">
      <alignment vertical="center"/>
    </xf>
    <xf numFmtId="0" fontId="22" fillId="3" borderId="62" xfId="0" applyFont="1" applyFill="1" applyBorder="1" applyAlignment="1">
      <alignment horizontal="center" vertical="center"/>
    </xf>
    <xf numFmtId="0" fontId="11" fillId="0" borderId="0" xfId="0" applyFont="1" applyBorder="1" applyAlignment="1">
      <alignment horizontal="left" vertical="center"/>
    </xf>
    <xf numFmtId="178" fontId="8" fillId="0" borderId="0" xfId="0" applyNumberFormat="1" applyFont="1" applyFill="1" applyBorder="1" applyAlignment="1">
      <alignment horizontal="right" vertical="center"/>
    </xf>
    <xf numFmtId="0" fontId="0" fillId="0" borderId="0" xfId="0" applyFont="1" applyBorder="1" applyAlignment="1">
      <alignment horizontal="center" vertical="center"/>
    </xf>
    <xf numFmtId="176" fontId="2" fillId="0" borderId="0" xfId="0" applyNumberFormat="1" applyFont="1" applyFill="1" applyBorder="1" applyAlignment="1">
      <alignment horizontal="right" vertical="center"/>
    </xf>
    <xf numFmtId="176" fontId="20" fillId="0" borderId="0" xfId="0" applyNumberFormat="1" applyFont="1" applyFill="1" applyBorder="1" applyAlignment="1">
      <alignment horizontal="center" vertical="center"/>
    </xf>
    <xf numFmtId="176" fontId="16" fillId="0" borderId="0" xfId="0" applyNumberFormat="1" applyFont="1" applyFill="1" applyBorder="1" applyAlignment="1">
      <alignment horizontal="center" vertical="center"/>
    </xf>
    <xf numFmtId="0" fontId="22" fillId="0" borderId="0" xfId="0" applyFont="1" applyFill="1" applyBorder="1" applyAlignment="1">
      <alignment horizontal="left" vertical="center"/>
    </xf>
    <xf numFmtId="0" fontId="0" fillId="0" borderId="2" xfId="0" applyBorder="1">
      <alignment vertical="center"/>
    </xf>
    <xf numFmtId="176" fontId="0" fillId="0" borderId="61" xfId="0" applyNumberFormat="1" applyBorder="1">
      <alignment vertical="center"/>
    </xf>
    <xf numFmtId="176" fontId="0" fillId="0" borderId="20" xfId="0" applyNumberFormat="1" applyFill="1" applyBorder="1">
      <alignment vertical="center"/>
    </xf>
    <xf numFmtId="176" fontId="0" fillId="0" borderId="38" xfId="0" applyNumberFormat="1" applyBorder="1">
      <alignment vertical="center"/>
    </xf>
    <xf numFmtId="176" fontId="0" fillId="0" borderId="45" xfId="0" applyNumberFormat="1" applyBorder="1">
      <alignment vertical="center"/>
    </xf>
    <xf numFmtId="176" fontId="0" fillId="0" borderId="45" xfId="1" applyNumberFormat="1" applyFont="1" applyBorder="1">
      <alignment vertical="center"/>
    </xf>
    <xf numFmtId="176" fontId="0" fillId="0" borderId="58" xfId="0" applyNumberFormat="1" applyBorder="1">
      <alignment vertical="center"/>
    </xf>
    <xf numFmtId="176" fontId="0" fillId="3" borderId="20" xfId="0" applyNumberFormat="1" applyFill="1" applyBorder="1">
      <alignment vertical="center"/>
    </xf>
    <xf numFmtId="176" fontId="0" fillId="3" borderId="59" xfId="0" applyNumberFormat="1" applyFill="1" applyBorder="1">
      <alignment vertical="center"/>
    </xf>
    <xf numFmtId="176" fontId="0" fillId="3" borderId="45" xfId="0" applyNumberFormat="1" applyFill="1" applyBorder="1">
      <alignment vertical="center"/>
    </xf>
    <xf numFmtId="176" fontId="0" fillId="3" borderId="60" xfId="0" applyNumberFormat="1" applyFill="1" applyBorder="1">
      <alignment vertical="center"/>
    </xf>
    <xf numFmtId="176" fontId="0" fillId="4" borderId="20" xfId="0" applyNumberFormat="1" applyFill="1" applyBorder="1">
      <alignment vertical="center"/>
    </xf>
    <xf numFmtId="176" fontId="0" fillId="4" borderId="59" xfId="0" applyNumberFormat="1" applyFill="1" applyBorder="1">
      <alignment vertical="center"/>
    </xf>
    <xf numFmtId="176" fontId="0" fillId="4" borderId="45" xfId="0" applyNumberFormat="1" applyFill="1" applyBorder="1">
      <alignment vertical="center"/>
    </xf>
    <xf numFmtId="176" fontId="0" fillId="4" borderId="60" xfId="0" applyNumberFormat="1" applyFill="1" applyBorder="1">
      <alignment vertical="center"/>
    </xf>
    <xf numFmtId="176" fontId="0" fillId="4" borderId="35" xfId="0" applyNumberFormat="1" applyFill="1" applyBorder="1">
      <alignment vertical="center"/>
    </xf>
    <xf numFmtId="176" fontId="21" fillId="5" borderId="98" xfId="0" applyNumberFormat="1" applyFont="1" applyFill="1" applyBorder="1">
      <alignment vertical="center"/>
    </xf>
    <xf numFmtId="180" fontId="2" fillId="0" borderId="20" xfId="2" applyNumberFormat="1" applyFont="1" applyBorder="1" applyAlignment="1">
      <alignment horizontal="right" vertical="center" wrapText="1"/>
    </xf>
    <xf numFmtId="181" fontId="9" fillId="0" borderId="20" xfId="2" applyNumberFormat="1" applyFont="1" applyBorder="1">
      <alignment vertical="center"/>
    </xf>
    <xf numFmtId="180" fontId="1" fillId="0" borderId="20" xfId="2" applyNumberFormat="1" applyFont="1" applyBorder="1" applyAlignment="1">
      <alignment horizontal="right" vertical="center" wrapText="1"/>
    </xf>
    <xf numFmtId="0" fontId="18" fillId="0" borderId="0" xfId="0" applyFont="1" applyBorder="1">
      <alignment vertical="center"/>
    </xf>
    <xf numFmtId="0" fontId="0" fillId="0" borderId="0" xfId="0" applyFont="1" applyBorder="1">
      <alignment vertical="center"/>
    </xf>
    <xf numFmtId="0" fontId="0" fillId="0" borderId="67" xfId="0" applyBorder="1">
      <alignment vertical="center"/>
    </xf>
    <xf numFmtId="0" fontId="0" fillId="0" borderId="10" xfId="0" applyFill="1" applyBorder="1">
      <alignment vertical="center"/>
    </xf>
    <xf numFmtId="0" fontId="0" fillId="0" borderId="66" xfId="0" applyFill="1" applyBorder="1">
      <alignment vertical="center"/>
    </xf>
    <xf numFmtId="0" fontId="0" fillId="0" borderId="52" xfId="0" applyBorder="1">
      <alignment vertical="center"/>
    </xf>
    <xf numFmtId="0" fontId="0" fillId="0" borderId="53" xfId="0" applyBorder="1" applyAlignment="1">
      <alignment vertical="center"/>
    </xf>
    <xf numFmtId="0" fontId="13" fillId="0" borderId="53" xfId="0" applyFont="1" applyBorder="1" applyAlignment="1">
      <alignment horizontal="center" vertical="center"/>
    </xf>
    <xf numFmtId="176" fontId="0" fillId="0" borderId="53" xfId="0" applyNumberFormat="1" applyBorder="1">
      <alignment vertical="center"/>
    </xf>
    <xf numFmtId="176" fontId="0" fillId="0" borderId="53" xfId="0" applyNumberFormat="1" applyFill="1" applyBorder="1">
      <alignment vertical="center"/>
    </xf>
    <xf numFmtId="176" fontId="0" fillId="0" borderId="53" xfId="1" applyNumberFormat="1" applyFont="1" applyBorder="1">
      <alignment vertical="center"/>
    </xf>
    <xf numFmtId="176" fontId="21" fillId="0" borderId="53" xfId="0" applyNumberFormat="1" applyFont="1" applyFill="1" applyBorder="1">
      <alignment vertical="center"/>
    </xf>
    <xf numFmtId="0" fontId="0" fillId="0" borderId="63" xfId="0" applyBorder="1">
      <alignment vertical="center"/>
    </xf>
    <xf numFmtId="0" fontId="22" fillId="0" borderId="6" xfId="0" applyFont="1" applyFill="1" applyBorder="1" applyAlignment="1">
      <alignment horizontal="left" vertical="center"/>
    </xf>
    <xf numFmtId="0" fontId="22" fillId="0" borderId="34" xfId="0" applyFont="1" applyFill="1" applyBorder="1" applyAlignment="1">
      <alignment horizontal="left" vertical="center"/>
    </xf>
    <xf numFmtId="0" fontId="7" fillId="0" borderId="0" xfId="0" applyFont="1" applyBorder="1" applyAlignment="1">
      <alignment horizontal="center" vertical="center" wrapText="1"/>
    </xf>
    <xf numFmtId="49" fontId="7" fillId="0" borderId="0" xfId="0" applyNumberFormat="1" applyFont="1" applyBorder="1" applyAlignment="1">
      <alignment horizontal="center" vertical="center" wrapText="1"/>
    </xf>
    <xf numFmtId="182" fontId="10" fillId="0" borderId="0" xfId="0" applyNumberFormat="1" applyFont="1" applyBorder="1" applyAlignment="1">
      <alignment horizontal="right" vertical="center" wrapText="1"/>
    </xf>
    <xf numFmtId="176" fontId="7" fillId="0" borderId="0" xfId="0" applyNumberFormat="1" applyFont="1" applyBorder="1" applyAlignment="1">
      <alignment horizontal="left" vertical="center" wrapText="1"/>
    </xf>
    <xf numFmtId="0" fontId="7" fillId="0" borderId="48" xfId="0" applyFont="1" applyBorder="1" applyAlignment="1">
      <alignment vertical="center"/>
    </xf>
    <xf numFmtId="0" fontId="7" fillId="0" borderId="99" xfId="0" applyFont="1" applyBorder="1" applyAlignment="1">
      <alignment horizontal="center" vertical="center"/>
    </xf>
    <xf numFmtId="189" fontId="9" fillId="0" borderId="103" xfId="0" applyNumberFormat="1" applyFont="1" applyBorder="1" applyAlignment="1">
      <alignment vertical="center"/>
    </xf>
    <xf numFmtId="176" fontId="7" fillId="0" borderId="103" xfId="0" applyNumberFormat="1" applyFont="1" applyBorder="1">
      <alignment vertical="center"/>
    </xf>
    <xf numFmtId="0" fontId="7" fillId="0" borderId="105" xfId="0" applyFont="1" applyBorder="1" applyAlignment="1">
      <alignment horizontal="center" vertical="center"/>
    </xf>
    <xf numFmtId="189" fontId="9" fillId="0" borderId="109" xfId="0" applyNumberFormat="1" applyFont="1" applyBorder="1" applyAlignment="1">
      <alignment vertical="center"/>
    </xf>
    <xf numFmtId="176" fontId="7" fillId="0" borderId="109" xfId="0" applyNumberFormat="1" applyFont="1" applyBorder="1">
      <alignment vertical="center"/>
    </xf>
    <xf numFmtId="0" fontId="7" fillId="0" borderId="111" xfId="0" applyFont="1" applyBorder="1" applyAlignment="1">
      <alignment horizontal="center" vertical="center"/>
    </xf>
    <xf numFmtId="176" fontId="7" fillId="0" borderId="115" xfId="0" applyNumberFormat="1" applyFont="1" applyBorder="1">
      <alignment vertical="center"/>
    </xf>
    <xf numFmtId="49" fontId="7" fillId="0" borderId="0" xfId="0" applyNumberFormat="1" applyFont="1" applyBorder="1" applyAlignment="1">
      <alignment vertical="center" wrapText="1"/>
    </xf>
    <xf numFmtId="180" fontId="2" fillId="0" borderId="35" xfId="2" applyNumberFormat="1" applyFont="1" applyBorder="1" applyAlignment="1">
      <alignment horizontal="right" vertical="center" wrapText="1"/>
    </xf>
    <xf numFmtId="0" fontId="11" fillId="0" borderId="20" xfId="0" applyFont="1" applyBorder="1" applyAlignment="1">
      <alignment horizontal="center" vertical="center"/>
    </xf>
    <xf numFmtId="0" fontId="35" fillId="0" borderId="0" xfId="0" applyFont="1" applyBorder="1" applyAlignment="1">
      <alignment horizontal="right" vertical="center"/>
    </xf>
    <xf numFmtId="0" fontId="34" fillId="0" borderId="0" xfId="0" applyFont="1" applyBorder="1" applyAlignment="1">
      <alignment horizontal="right" vertical="center" wrapText="1"/>
    </xf>
    <xf numFmtId="176" fontId="34" fillId="0" borderId="0" xfId="0" applyNumberFormat="1" applyFont="1" applyBorder="1" applyAlignment="1">
      <alignment horizontal="right" vertical="center" wrapText="1"/>
    </xf>
    <xf numFmtId="0" fontId="11" fillId="0" borderId="0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178" fontId="8" fillId="0" borderId="2" xfId="0" applyNumberFormat="1" applyFont="1" applyFill="1" applyBorder="1" applyAlignment="1">
      <alignment horizontal="center" vertical="center"/>
    </xf>
    <xf numFmtId="185" fontId="8" fillId="0" borderId="0" xfId="0" applyNumberFormat="1" applyFont="1" applyFill="1" applyBorder="1" applyAlignment="1">
      <alignment horizontal="center" vertical="center"/>
    </xf>
    <xf numFmtId="0" fontId="31" fillId="0" borderId="0" xfId="0" applyFont="1" applyBorder="1" applyAlignment="1">
      <alignment horizontal="right" vertical="center"/>
    </xf>
    <xf numFmtId="193" fontId="32" fillId="0" borderId="0" xfId="0" applyNumberFormat="1" applyFont="1" applyBorder="1" applyAlignment="1">
      <alignment horizontal="left" vertical="center"/>
    </xf>
    <xf numFmtId="194" fontId="37" fillId="0" borderId="4" xfId="0" applyNumberFormat="1" applyFont="1" applyFill="1" applyBorder="1" applyAlignment="1">
      <alignment vertical="center"/>
    </xf>
    <xf numFmtId="0" fontId="10" fillId="0" borderId="50" xfId="0" applyFont="1" applyBorder="1" applyAlignment="1">
      <alignment horizontal="center" vertical="center" wrapText="1"/>
    </xf>
    <xf numFmtId="0" fontId="10" fillId="0" borderId="51" xfId="0" applyFont="1" applyBorder="1" applyAlignment="1">
      <alignment horizontal="center" vertical="center" wrapText="1"/>
    </xf>
    <xf numFmtId="0" fontId="10" fillId="0" borderId="23" xfId="0" applyFont="1" applyBorder="1" applyAlignment="1">
      <alignment horizontal="center" vertical="center" wrapText="1"/>
    </xf>
    <xf numFmtId="0" fontId="11" fillId="0" borderId="0" xfId="0" applyFont="1" applyBorder="1" applyAlignment="1">
      <alignment horizontal="center" vertical="center"/>
    </xf>
    <xf numFmtId="176" fontId="7" fillId="0" borderId="0" xfId="0" applyNumberFormat="1" applyFont="1" applyBorder="1" applyAlignment="1">
      <alignment horizontal="left" vertical="center" wrapText="1"/>
    </xf>
    <xf numFmtId="194" fontId="37" fillId="0" borderId="2" xfId="0" applyNumberFormat="1" applyFont="1" applyFill="1" applyBorder="1" applyAlignment="1">
      <alignment horizontal="left" vertical="center"/>
    </xf>
    <xf numFmtId="194" fontId="37" fillId="0" borderId="3" xfId="0" applyNumberFormat="1" applyFont="1" applyFill="1" applyBorder="1" applyAlignment="1">
      <alignment horizontal="left" vertical="center"/>
    </xf>
    <xf numFmtId="194" fontId="37" fillId="0" borderId="19" xfId="0" applyNumberFormat="1" applyFont="1" applyFill="1" applyBorder="1" applyAlignment="1">
      <alignment horizontal="left" vertical="center"/>
    </xf>
    <xf numFmtId="194" fontId="37" fillId="0" borderId="46" xfId="0" applyNumberFormat="1" applyFont="1" applyFill="1" applyBorder="1" applyAlignment="1">
      <alignment horizontal="left" vertical="center"/>
    </xf>
    <xf numFmtId="0" fontId="15" fillId="0" borderId="92" xfId="0" applyFont="1" applyFill="1" applyBorder="1" applyAlignment="1">
      <alignment horizontal="center" vertical="center"/>
    </xf>
    <xf numFmtId="0" fontId="15" fillId="0" borderId="10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left" vertical="center"/>
    </xf>
    <xf numFmtId="176" fontId="7" fillId="0" borderId="106" xfId="0" applyNumberFormat="1" applyFont="1" applyBorder="1" applyAlignment="1">
      <alignment horizontal="center" vertical="center"/>
    </xf>
    <xf numFmtId="176" fontId="7" fillId="0" borderId="107" xfId="0" applyNumberFormat="1" applyFont="1" applyBorder="1" applyAlignment="1">
      <alignment horizontal="center" vertical="center"/>
    </xf>
    <xf numFmtId="176" fontId="7" fillId="0" borderId="108" xfId="0" applyNumberFormat="1" applyFont="1" applyBorder="1" applyAlignment="1">
      <alignment horizontal="center" vertical="center"/>
    </xf>
    <xf numFmtId="176" fontId="7" fillId="0" borderId="100" xfId="0" applyNumberFormat="1" applyFont="1" applyBorder="1" applyAlignment="1">
      <alignment horizontal="center" vertical="center"/>
    </xf>
    <xf numFmtId="176" fontId="7" fillId="0" borderId="101" xfId="0" applyNumberFormat="1" applyFont="1" applyBorder="1" applyAlignment="1">
      <alignment horizontal="center" vertical="center"/>
    </xf>
    <xf numFmtId="176" fontId="7" fillId="0" borderId="102" xfId="0" applyNumberFormat="1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7" fillId="0" borderId="47" xfId="0" applyFont="1" applyBorder="1" applyAlignment="1">
      <alignment horizontal="center" vertical="center"/>
    </xf>
    <xf numFmtId="0" fontId="11" fillId="0" borderId="16" xfId="0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193" fontId="32" fillId="0" borderId="2" xfId="0" applyNumberFormat="1" applyFont="1" applyBorder="1" applyAlignment="1">
      <alignment horizontal="left" vertical="center"/>
    </xf>
    <xf numFmtId="193" fontId="32" fillId="0" borderId="3" xfId="0" applyNumberFormat="1" applyFont="1" applyBorder="1" applyAlignment="1">
      <alignment horizontal="left" vertical="center"/>
    </xf>
    <xf numFmtId="193" fontId="32" fillId="0" borderId="19" xfId="0" applyNumberFormat="1" applyFont="1" applyBorder="1" applyAlignment="1">
      <alignment horizontal="left" vertical="center"/>
    </xf>
    <xf numFmtId="193" fontId="32" fillId="0" borderId="46" xfId="0" applyNumberFormat="1" applyFont="1" applyBorder="1" applyAlignment="1">
      <alignment horizontal="left" vertical="center"/>
    </xf>
    <xf numFmtId="0" fontId="31" fillId="0" borderId="1" xfId="0" applyFont="1" applyBorder="1" applyAlignment="1">
      <alignment horizontal="center" vertical="center"/>
    </xf>
    <xf numFmtId="0" fontId="31" fillId="0" borderId="2" xfId="0" applyFont="1" applyBorder="1" applyAlignment="1">
      <alignment horizontal="center" vertical="center"/>
    </xf>
    <xf numFmtId="0" fontId="31" fillId="0" borderId="24" xfId="0" applyFont="1" applyBorder="1" applyAlignment="1">
      <alignment horizontal="center" vertical="center"/>
    </xf>
    <xf numFmtId="0" fontId="31" fillId="0" borderId="19" xfId="0" applyFont="1" applyBorder="1" applyAlignment="1">
      <alignment horizontal="center" vertical="center"/>
    </xf>
    <xf numFmtId="0" fontId="7" fillId="0" borderId="0" xfId="0" applyFont="1" applyBorder="1" applyAlignment="1">
      <alignment horizontal="left" vertical="center"/>
    </xf>
    <xf numFmtId="191" fontId="9" fillId="0" borderId="106" xfId="0" applyNumberFormat="1" applyFont="1" applyBorder="1" applyAlignment="1">
      <alignment vertical="center"/>
    </xf>
    <xf numFmtId="191" fontId="9" fillId="0" borderId="108" xfId="0" applyNumberFormat="1" applyFont="1" applyBorder="1" applyAlignment="1">
      <alignment vertical="center"/>
    </xf>
    <xf numFmtId="190" fontId="9" fillId="0" borderId="50" xfId="0" applyNumberFormat="1" applyFont="1" applyBorder="1" applyAlignment="1">
      <alignment vertical="center"/>
    </xf>
    <xf numFmtId="190" fontId="9" fillId="0" borderId="23" xfId="0" applyNumberFormat="1" applyFont="1" applyBorder="1" applyAlignment="1">
      <alignment vertical="center"/>
    </xf>
    <xf numFmtId="0" fontId="7" fillId="0" borderId="19" xfId="0" applyFont="1" applyBorder="1" applyAlignment="1">
      <alignment horizontal="right" vertical="center"/>
    </xf>
    <xf numFmtId="191" fontId="9" fillId="0" borderId="100" xfId="0" applyNumberFormat="1" applyFont="1" applyBorder="1" applyAlignment="1">
      <alignment vertical="center"/>
    </xf>
    <xf numFmtId="191" fontId="9" fillId="0" borderId="102" xfId="0" applyNumberFormat="1" applyFont="1" applyBorder="1" applyAlignment="1">
      <alignment vertical="center"/>
    </xf>
    <xf numFmtId="176" fontId="33" fillId="2" borderId="0" xfId="0" applyNumberFormat="1" applyFont="1" applyFill="1" applyBorder="1" applyAlignment="1">
      <alignment horizontal="left" vertical="center"/>
    </xf>
    <xf numFmtId="188" fontId="33" fillId="2" borderId="0" xfId="0" applyNumberFormat="1" applyFont="1" applyFill="1" applyBorder="1" applyAlignment="1">
      <alignment horizontal="left" vertical="center"/>
    </xf>
    <xf numFmtId="10" fontId="34" fillId="2" borderId="0" xfId="0" applyNumberFormat="1" applyFont="1" applyFill="1" applyBorder="1" applyAlignment="1">
      <alignment horizontal="left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24" xfId="0" applyFont="1" applyBorder="1" applyAlignment="1">
      <alignment horizontal="center" vertical="center"/>
    </xf>
    <xf numFmtId="0" fontId="36" fillId="0" borderId="19" xfId="0" applyFont="1" applyBorder="1" applyAlignment="1">
      <alignment horizontal="center" vertical="center"/>
    </xf>
    <xf numFmtId="0" fontId="21" fillId="0" borderId="6" xfId="0" applyFont="1" applyFill="1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21" fillId="3" borderId="96" xfId="0" applyFont="1" applyFill="1" applyBorder="1" applyAlignment="1">
      <alignment horizontal="center" vertical="center"/>
    </xf>
    <xf numFmtId="0" fontId="21" fillId="3" borderId="97" xfId="0" applyFont="1" applyFill="1" applyBorder="1" applyAlignment="1">
      <alignment horizontal="center" vertical="center"/>
    </xf>
    <xf numFmtId="186" fontId="30" fillId="0" borderId="0" xfId="0" applyNumberFormat="1" applyFont="1" applyFill="1" applyBorder="1" applyAlignment="1">
      <alignment horizontal="center" vertical="center"/>
    </xf>
    <xf numFmtId="178" fontId="27" fillId="0" borderId="0" xfId="0" applyNumberFormat="1" applyFont="1" applyFill="1" applyBorder="1" applyAlignment="1">
      <alignment horizontal="center" vertical="center"/>
    </xf>
    <xf numFmtId="49" fontId="29" fillId="0" borderId="0" xfId="0" applyNumberFormat="1" applyFont="1" applyFill="1" applyBorder="1" applyAlignment="1">
      <alignment horizontal="right" vertical="center"/>
    </xf>
    <xf numFmtId="0" fontId="23" fillId="0" borderId="0" xfId="0" applyFont="1" applyFill="1" applyBorder="1" applyAlignment="1">
      <alignment horizontal="center" vertical="center"/>
    </xf>
    <xf numFmtId="0" fontId="24" fillId="0" borderId="4" xfId="0" applyFont="1" applyFill="1" applyBorder="1" applyAlignment="1">
      <alignment horizontal="center" vertical="center" wrapText="1"/>
    </xf>
    <xf numFmtId="0" fontId="24" fillId="0" borderId="0" xfId="0" applyFont="1" applyFill="1" applyBorder="1" applyAlignment="1">
      <alignment horizontal="center" vertical="center" wrapText="1"/>
    </xf>
    <xf numFmtId="0" fontId="24" fillId="0" borderId="5" xfId="0" applyFont="1" applyFill="1" applyBorder="1" applyAlignment="1">
      <alignment horizontal="center" vertical="center" wrapText="1"/>
    </xf>
    <xf numFmtId="0" fontId="28" fillId="0" borderId="0" xfId="0" applyFont="1" applyFill="1" applyBorder="1" applyAlignment="1">
      <alignment horizontal="left" vertical="center"/>
    </xf>
    <xf numFmtId="0" fontId="23" fillId="0" borderId="0" xfId="0" applyFont="1" applyFill="1" applyBorder="1" applyAlignment="1">
      <alignment horizontal="left" vertical="center"/>
    </xf>
    <xf numFmtId="178" fontId="23" fillId="0" borderId="0" xfId="0" applyNumberFormat="1" applyFont="1" applyFill="1" applyBorder="1" applyAlignment="1">
      <alignment horizontal="center" vertical="center"/>
    </xf>
    <xf numFmtId="192" fontId="7" fillId="0" borderId="110" xfId="0" applyNumberFormat="1" applyFont="1" applyBorder="1" applyAlignment="1">
      <alignment horizontal="right" vertical="center"/>
    </xf>
    <xf numFmtId="192" fontId="7" fillId="0" borderId="107" xfId="0" applyNumberFormat="1" applyFont="1" applyBorder="1" applyAlignment="1">
      <alignment horizontal="right" vertical="center"/>
    </xf>
    <xf numFmtId="192" fontId="7" fillId="0" borderId="108" xfId="0" applyNumberFormat="1" applyFont="1" applyBorder="1" applyAlignment="1">
      <alignment horizontal="right" vertical="center"/>
    </xf>
    <xf numFmtId="192" fontId="7" fillId="0" borderId="116" xfId="0" applyNumberFormat="1" applyFont="1" applyBorder="1" applyAlignment="1">
      <alignment horizontal="right" vertical="center"/>
    </xf>
    <xf numFmtId="192" fontId="7" fillId="0" borderId="113" xfId="0" applyNumberFormat="1" applyFont="1" applyBorder="1" applyAlignment="1">
      <alignment horizontal="right" vertical="center"/>
    </xf>
    <xf numFmtId="192" fontId="7" fillId="0" borderId="114" xfId="0" applyNumberFormat="1" applyFont="1" applyBorder="1" applyAlignment="1">
      <alignment horizontal="right" vertical="center"/>
    </xf>
    <xf numFmtId="192" fontId="7" fillId="0" borderId="93" xfId="0" applyNumberFormat="1" applyFont="1" applyBorder="1" applyAlignment="1">
      <alignment horizontal="right" vertical="center"/>
    </xf>
    <xf numFmtId="192" fontId="7" fillId="0" borderId="17" xfId="0" applyNumberFormat="1" applyFont="1" applyBorder="1" applyAlignment="1">
      <alignment horizontal="right" vertical="center"/>
    </xf>
    <xf numFmtId="192" fontId="7" fillId="0" borderId="47" xfId="0" applyNumberFormat="1" applyFont="1" applyBorder="1" applyAlignment="1">
      <alignment horizontal="right" vertical="center"/>
    </xf>
    <xf numFmtId="0" fontId="10" fillId="0" borderId="94" xfId="0" applyFont="1" applyBorder="1" applyAlignment="1">
      <alignment horizontal="center" vertical="center" wrapText="1"/>
    </xf>
    <xf numFmtId="0" fontId="10" fillId="0" borderId="95" xfId="0" applyFont="1" applyBorder="1" applyAlignment="1">
      <alignment horizontal="center" vertical="center" wrapText="1"/>
    </xf>
    <xf numFmtId="0" fontId="7" fillId="0" borderId="93" xfId="0" applyFont="1" applyBorder="1" applyAlignment="1">
      <alignment horizontal="center" vertical="center"/>
    </xf>
    <xf numFmtId="192" fontId="7" fillId="0" borderId="104" xfId="0" applyNumberFormat="1" applyFont="1" applyBorder="1" applyAlignment="1">
      <alignment horizontal="right" vertical="center"/>
    </xf>
    <xf numFmtId="192" fontId="7" fillId="0" borderId="101" xfId="0" applyNumberFormat="1" applyFont="1" applyBorder="1" applyAlignment="1">
      <alignment horizontal="right" vertical="center"/>
    </xf>
    <xf numFmtId="192" fontId="7" fillId="0" borderId="102" xfId="0" applyNumberFormat="1" applyFont="1" applyBorder="1" applyAlignment="1">
      <alignment horizontal="right" vertical="center"/>
    </xf>
    <xf numFmtId="176" fontId="7" fillId="0" borderId="112" xfId="0" applyNumberFormat="1" applyFont="1" applyBorder="1" applyAlignment="1">
      <alignment horizontal="center" vertical="center"/>
    </xf>
    <xf numFmtId="176" fontId="7" fillId="0" borderId="113" xfId="0" applyNumberFormat="1" applyFont="1" applyBorder="1" applyAlignment="1">
      <alignment horizontal="center" vertical="center"/>
    </xf>
    <xf numFmtId="176" fontId="7" fillId="0" borderId="114" xfId="0" applyNumberFormat="1" applyFont="1" applyBorder="1" applyAlignment="1">
      <alignment horizontal="center" vertical="center"/>
    </xf>
    <xf numFmtId="0" fontId="21" fillId="0" borderId="0" xfId="0" applyFont="1" applyFill="1" applyBorder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vertical="center" wrapText="1"/>
    </xf>
    <xf numFmtId="0" fontId="15" fillId="0" borderId="0" xfId="0" applyFont="1" applyFill="1" applyBorder="1" applyAlignment="1">
      <alignment horizontal="left" vertical="center"/>
    </xf>
    <xf numFmtId="0" fontId="22" fillId="0" borderId="6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left" vertical="center"/>
    </xf>
    <xf numFmtId="0" fontId="38" fillId="0" borderId="0" xfId="0" applyFont="1" applyFill="1" applyBorder="1" applyAlignment="1">
      <alignment horizontal="left" vertical="center"/>
    </xf>
    <xf numFmtId="0" fontId="38" fillId="0" borderId="0" xfId="0" applyFont="1" applyAlignment="1">
      <alignment horizontal="left" vertical="center"/>
    </xf>
    <xf numFmtId="49" fontId="41" fillId="0" borderId="0" xfId="0" applyNumberFormat="1" applyFont="1" applyFill="1" applyBorder="1" applyAlignment="1">
      <alignment horizontal="center" vertical="center"/>
    </xf>
    <xf numFmtId="0" fontId="23" fillId="0" borderId="0" xfId="0" applyFont="1" applyFill="1" applyBorder="1" applyAlignment="1">
      <alignment horizontal="center" vertical="center" wrapText="1"/>
    </xf>
    <xf numFmtId="0" fontId="31" fillId="0" borderId="1" xfId="0" applyFont="1" applyBorder="1" applyAlignment="1">
      <alignment horizontal="right" vertical="center"/>
    </xf>
    <xf numFmtId="0" fontId="31" fillId="0" borderId="2" xfId="0" applyFont="1" applyBorder="1" applyAlignment="1">
      <alignment horizontal="right" vertical="center"/>
    </xf>
    <xf numFmtId="0" fontId="31" fillId="0" borderId="24" xfId="0" applyFont="1" applyBorder="1" applyAlignment="1">
      <alignment horizontal="right" vertical="center"/>
    </xf>
    <xf numFmtId="0" fontId="31" fillId="0" borderId="19" xfId="0" applyFont="1" applyBorder="1" applyAlignment="1">
      <alignment horizontal="right" vertical="center"/>
    </xf>
    <xf numFmtId="0" fontId="7" fillId="0" borderId="64" xfId="0" applyFont="1" applyBorder="1" applyAlignment="1">
      <alignment horizontal="center" vertical="center"/>
    </xf>
    <xf numFmtId="176" fontId="7" fillId="0" borderId="42" xfId="0" applyNumberFormat="1" applyFont="1" applyBorder="1">
      <alignment vertical="center"/>
    </xf>
    <xf numFmtId="176" fontId="7" fillId="0" borderId="31" xfId="0" applyNumberFormat="1" applyFont="1" applyBorder="1">
      <alignment vertical="center"/>
    </xf>
    <xf numFmtId="176" fontId="7" fillId="0" borderId="66" xfId="0" applyNumberFormat="1" applyFont="1" applyBorder="1">
      <alignment vertical="center"/>
    </xf>
    <xf numFmtId="176" fontId="7" fillId="0" borderId="65" xfId="0" applyNumberFormat="1" applyFont="1" applyBorder="1">
      <alignment vertical="center"/>
    </xf>
    <xf numFmtId="0" fontId="12" fillId="0" borderId="0" xfId="0" applyFont="1" applyBorder="1" applyAlignment="1">
      <alignment horizontal="center" vertical="center"/>
    </xf>
    <xf numFmtId="176" fontId="7" fillId="0" borderId="34" xfId="0" applyNumberFormat="1" applyFont="1" applyBorder="1">
      <alignment vertical="center"/>
    </xf>
    <xf numFmtId="176" fontId="7" fillId="0" borderId="25" xfId="0" applyNumberFormat="1" applyFont="1" applyBorder="1">
      <alignment vertical="center"/>
    </xf>
    <xf numFmtId="0" fontId="7" fillId="0" borderId="18" xfId="0" applyFont="1" applyBorder="1" applyAlignment="1">
      <alignment horizontal="center" vertical="center"/>
    </xf>
    <xf numFmtId="176" fontId="10" fillId="0" borderId="89" xfId="0" applyNumberFormat="1" applyFont="1" applyBorder="1" applyAlignment="1">
      <alignment horizontal="right" vertical="center" wrapText="1"/>
    </xf>
    <xf numFmtId="0" fontId="7" fillId="0" borderId="88" xfId="0" applyFont="1" applyBorder="1">
      <alignment vertical="center"/>
    </xf>
    <xf numFmtId="182" fontId="10" fillId="0" borderId="87" xfId="0" applyNumberFormat="1" applyFont="1" applyBorder="1" applyAlignment="1">
      <alignment horizontal="center" vertical="center" wrapText="1"/>
    </xf>
    <xf numFmtId="182" fontId="10" fillId="0" borderId="86" xfId="0" applyNumberFormat="1" applyFont="1" applyBorder="1" applyAlignment="1">
      <alignment horizontal="center" vertical="center" wrapText="1"/>
    </xf>
    <xf numFmtId="182" fontId="10" fillId="0" borderId="85" xfId="0" applyNumberFormat="1" applyFont="1" applyBorder="1" applyAlignment="1">
      <alignment horizontal="center" vertical="center" wrapText="1"/>
    </xf>
    <xf numFmtId="176" fontId="10" fillId="0" borderId="81" xfId="0" applyNumberFormat="1" applyFont="1" applyBorder="1" applyAlignment="1">
      <alignment horizontal="right" vertical="center" wrapText="1"/>
    </xf>
    <xf numFmtId="0" fontId="7" fillId="0" borderId="80" xfId="0" applyFont="1" applyBorder="1">
      <alignment vertical="center"/>
    </xf>
    <xf numFmtId="182" fontId="10" fillId="0" borderId="84" xfId="0" applyNumberFormat="1" applyFont="1" applyBorder="1" applyAlignment="1">
      <alignment horizontal="center" vertical="center" wrapText="1"/>
    </xf>
    <xf numFmtId="182" fontId="10" fillId="0" borderId="83" xfId="0" applyNumberFormat="1" applyFont="1" applyBorder="1" applyAlignment="1">
      <alignment horizontal="center" vertical="center" wrapText="1"/>
    </xf>
    <xf numFmtId="182" fontId="10" fillId="0" borderId="82" xfId="0" applyNumberFormat="1" applyFont="1" applyBorder="1" applyAlignment="1">
      <alignment horizontal="center" vertical="center" wrapText="1"/>
    </xf>
    <xf numFmtId="176" fontId="10" fillId="0" borderId="80" xfId="0" applyNumberFormat="1" applyFont="1" applyBorder="1" applyAlignment="1">
      <alignment horizontal="right" vertical="center" wrapText="1"/>
    </xf>
    <xf numFmtId="182" fontId="10" fillId="0" borderId="79" xfId="0" applyNumberFormat="1" applyFont="1" applyBorder="1" applyAlignment="1">
      <alignment horizontal="center" vertical="center" wrapText="1"/>
    </xf>
    <xf numFmtId="182" fontId="10" fillId="0" borderId="76" xfId="0" applyNumberFormat="1" applyFont="1" applyBorder="1" applyAlignment="1">
      <alignment horizontal="center" vertical="center" wrapText="1"/>
    </xf>
    <xf numFmtId="182" fontId="10" fillId="0" borderId="78" xfId="0" applyNumberFormat="1" applyFont="1" applyBorder="1" applyAlignment="1">
      <alignment horizontal="center" vertical="center" wrapText="1"/>
    </xf>
    <xf numFmtId="182" fontId="10" fillId="0" borderId="77" xfId="0" applyNumberFormat="1" applyFont="1" applyBorder="1" applyAlignment="1">
      <alignment horizontal="center" vertical="center" wrapText="1"/>
    </xf>
    <xf numFmtId="182" fontId="10" fillId="0" borderId="75" xfId="0" applyNumberFormat="1" applyFont="1" applyBorder="1" applyAlignment="1">
      <alignment horizontal="center" vertical="center" wrapText="1"/>
    </xf>
    <xf numFmtId="176" fontId="10" fillId="0" borderId="74" xfId="0" applyNumberFormat="1" applyFont="1" applyBorder="1" applyAlignment="1">
      <alignment horizontal="right" vertical="center" wrapText="1"/>
    </xf>
    <xf numFmtId="176" fontId="10" fillId="0" borderId="73" xfId="0" applyNumberFormat="1" applyFont="1" applyBorder="1" applyAlignment="1">
      <alignment horizontal="right" vertical="center" wrapText="1"/>
    </xf>
    <xf numFmtId="182" fontId="10" fillId="0" borderId="72" xfId="0" applyNumberFormat="1" applyFont="1" applyBorder="1" applyAlignment="1">
      <alignment horizontal="center" vertical="center" wrapText="1"/>
    </xf>
    <xf numFmtId="182" fontId="10" fillId="0" borderId="69" xfId="0" applyNumberFormat="1" applyFont="1" applyBorder="1" applyAlignment="1">
      <alignment horizontal="center" vertical="center" wrapText="1"/>
    </xf>
    <xf numFmtId="182" fontId="10" fillId="0" borderId="71" xfId="0" applyNumberFormat="1" applyFont="1" applyBorder="1" applyAlignment="1">
      <alignment horizontal="center" vertical="center" wrapText="1"/>
    </xf>
    <xf numFmtId="182" fontId="10" fillId="0" borderId="70" xfId="0" applyNumberFormat="1" applyFont="1" applyBorder="1" applyAlignment="1">
      <alignment horizontal="center" vertical="center" wrapText="1"/>
    </xf>
    <xf numFmtId="182" fontId="10" fillId="0" borderId="68" xfId="0" applyNumberFormat="1" applyFont="1" applyBorder="1" applyAlignment="1">
      <alignment horizontal="center" vertical="center" wrapText="1"/>
    </xf>
    <xf numFmtId="176" fontId="10" fillId="0" borderId="0" xfId="0" applyNumberFormat="1" applyFont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91" xfId="0" applyFont="1" applyBorder="1" applyAlignment="1">
      <alignment horizontal="center" vertical="center" wrapText="1"/>
    </xf>
    <xf numFmtId="0" fontId="10" fillId="0" borderId="90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4" fillId="0" borderId="0" xfId="0" applyFont="1" applyBorder="1" applyAlignment="1">
      <alignment vertical="center"/>
    </xf>
    <xf numFmtId="0" fontId="10" fillId="0" borderId="0" xfId="0" applyFont="1" applyFill="1" applyBorder="1" applyAlignment="1">
      <alignment vertical="center" wrapText="1"/>
    </xf>
    <xf numFmtId="0" fontId="7" fillId="0" borderId="0" xfId="0" applyFont="1" applyFill="1" applyBorder="1">
      <alignment vertical="center"/>
    </xf>
    <xf numFmtId="0" fontId="7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vertical="center" wrapText="1"/>
    </xf>
    <xf numFmtId="176" fontId="9" fillId="0" borderId="0" xfId="0" applyNumberFormat="1" applyFont="1" applyFill="1" applyBorder="1" applyAlignment="1">
      <alignment vertical="center"/>
    </xf>
    <xf numFmtId="49" fontId="7" fillId="0" borderId="0" xfId="0" applyNumberFormat="1" applyFont="1" applyFill="1" applyBorder="1" applyAlignment="1">
      <alignment vertical="center" wrapText="1"/>
    </xf>
    <xf numFmtId="0" fontId="42" fillId="2" borderId="0" xfId="0" applyFont="1" applyFill="1" applyBorder="1" applyAlignment="1">
      <alignment horizontal="center" vertical="center"/>
    </xf>
    <xf numFmtId="192" fontId="42" fillId="2" borderId="0" xfId="0" applyNumberFormat="1" applyFont="1" applyFill="1" applyBorder="1" applyAlignment="1">
      <alignment horizontal="left" vertical="center" wrapText="1"/>
    </xf>
    <xf numFmtId="10" fontId="42" fillId="2" borderId="0" xfId="0" applyNumberFormat="1" applyFont="1" applyFill="1" applyBorder="1" applyAlignment="1">
      <alignment horizontal="center" vertical="center"/>
    </xf>
    <xf numFmtId="0" fontId="18" fillId="0" borderId="0" xfId="0" applyFont="1" applyBorder="1" applyAlignment="1">
      <alignment vertical="center"/>
    </xf>
    <xf numFmtId="0" fontId="0" fillId="0" borderId="19" xfId="0" applyBorder="1" applyAlignment="1">
      <alignment horizontal="center" vertical="center"/>
    </xf>
    <xf numFmtId="0" fontId="7" fillId="0" borderId="93" xfId="0" applyFont="1" applyBorder="1" applyAlignment="1">
      <alignment vertical="center"/>
    </xf>
    <xf numFmtId="192" fontId="7" fillId="0" borderId="25" xfId="0" applyNumberFormat="1" applyFont="1" applyBorder="1">
      <alignment vertical="center"/>
    </xf>
    <xf numFmtId="189" fontId="9" fillId="0" borderId="103" xfId="0" applyNumberFormat="1" applyFont="1" applyBorder="1" applyAlignment="1">
      <alignment horizontal="right" vertical="center"/>
    </xf>
    <xf numFmtId="191" fontId="9" fillId="0" borderId="100" xfId="0" applyNumberFormat="1" applyFont="1" applyBorder="1" applyAlignment="1">
      <alignment horizontal="right" vertical="center"/>
    </xf>
    <xf numFmtId="191" fontId="9" fillId="0" borderId="102" xfId="0" applyNumberFormat="1" applyFont="1" applyBorder="1" applyAlignment="1">
      <alignment horizontal="right" vertical="center"/>
    </xf>
    <xf numFmtId="189" fontId="9" fillId="0" borderId="109" xfId="0" applyNumberFormat="1" applyFont="1" applyBorder="1" applyAlignment="1">
      <alignment horizontal="right" vertical="center"/>
    </xf>
    <xf numFmtId="191" fontId="9" fillId="0" borderId="106" xfId="0" applyNumberFormat="1" applyFont="1" applyBorder="1" applyAlignment="1">
      <alignment horizontal="right" vertical="center"/>
    </xf>
    <xf numFmtId="191" fontId="9" fillId="0" borderId="108" xfId="0" applyNumberFormat="1" applyFont="1" applyBorder="1" applyAlignment="1">
      <alignment horizontal="right" vertical="center"/>
    </xf>
    <xf numFmtId="0" fontId="9" fillId="0" borderId="93" xfId="0" applyFont="1" applyBorder="1" applyAlignment="1">
      <alignment horizontal="right" vertical="center"/>
    </xf>
    <xf numFmtId="0" fontId="9" fillId="0" borderId="17" xfId="0" applyFont="1" applyBorder="1" applyAlignment="1">
      <alignment horizontal="right" vertical="center"/>
    </xf>
    <xf numFmtId="0" fontId="9" fillId="0" borderId="47" xfId="0" applyFont="1" applyBorder="1" applyAlignment="1">
      <alignment horizontal="right" vertical="center"/>
    </xf>
    <xf numFmtId="0" fontId="0" fillId="0" borderId="20" xfId="0" applyBorder="1" applyAlignment="1">
      <alignment vertical="center"/>
    </xf>
    <xf numFmtId="0" fontId="0" fillId="0" borderId="30" xfId="0" applyBorder="1" applyAlignment="1">
      <alignment horizontal="center" vertical="center"/>
    </xf>
    <xf numFmtId="176" fontId="0" fillId="6" borderId="30" xfId="0" applyNumberFormat="1" applyFill="1" applyBorder="1">
      <alignment vertical="center"/>
    </xf>
    <xf numFmtId="0" fontId="21" fillId="3" borderId="20" xfId="0" applyFont="1" applyFill="1" applyBorder="1" applyAlignment="1">
      <alignment horizontal="center" vertical="center"/>
    </xf>
    <xf numFmtId="0" fontId="21" fillId="3" borderId="20" xfId="0" applyFont="1" applyFill="1" applyBorder="1" applyAlignment="1">
      <alignment horizontal="left" vertical="center"/>
    </xf>
    <xf numFmtId="195" fontId="7" fillId="3" borderId="20" xfId="0" applyNumberFormat="1" applyFont="1" applyFill="1" applyBorder="1" applyAlignment="1">
      <alignment horizontal="center" vertical="center"/>
    </xf>
    <xf numFmtId="184" fontId="7" fillId="3" borderId="20" xfId="2" applyNumberFormat="1" applyFont="1" applyFill="1" applyBorder="1" applyAlignment="1">
      <alignment horizontal="center" vertical="center"/>
    </xf>
    <xf numFmtId="182" fontId="10" fillId="0" borderId="0" xfId="0" applyNumberFormat="1" applyFont="1" applyBorder="1" applyAlignment="1">
      <alignment horizontal="center" vertical="center" wrapText="1"/>
    </xf>
    <xf numFmtId="0" fontId="12" fillId="0" borderId="0" xfId="0" applyFont="1" applyBorder="1" applyAlignment="1">
      <alignment horizontal="right" vertical="center"/>
    </xf>
    <xf numFmtId="178" fontId="8" fillId="0" borderId="0" xfId="0" applyNumberFormat="1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18" fillId="0" borderId="7" xfId="0" applyFont="1" applyBorder="1">
      <alignment vertical="center"/>
    </xf>
    <xf numFmtId="0" fontId="15" fillId="0" borderId="8" xfId="0" applyFont="1" applyFill="1" applyBorder="1" applyAlignment="1">
      <alignment horizontal="center" vertical="center"/>
    </xf>
    <xf numFmtId="0" fontId="5" fillId="0" borderId="8" xfId="0" applyFont="1" applyBorder="1" applyAlignment="1">
      <alignment vertical="center" wrapText="1"/>
    </xf>
    <xf numFmtId="0" fontId="6" fillId="0" borderId="8" xfId="0" applyFont="1" applyBorder="1" applyAlignment="1">
      <alignment vertical="center" wrapText="1"/>
    </xf>
    <xf numFmtId="0" fontId="6" fillId="0" borderId="9" xfId="0" applyFont="1" applyBorder="1" applyAlignment="1">
      <alignment vertical="center" wrapText="1"/>
    </xf>
    <xf numFmtId="0" fontId="7" fillId="0" borderId="14" xfId="0" applyFont="1" applyBorder="1">
      <alignment vertical="center"/>
    </xf>
    <xf numFmtId="0" fontId="11" fillId="0" borderId="15" xfId="0" applyFont="1" applyBorder="1" applyAlignment="1">
      <alignment horizontal="center" vertical="center"/>
    </xf>
    <xf numFmtId="0" fontId="10" fillId="0" borderId="14" xfId="0" applyFont="1" applyBorder="1" applyAlignment="1">
      <alignment vertical="center" wrapText="1"/>
    </xf>
    <xf numFmtId="0" fontId="0" fillId="0" borderId="15" xfId="0" applyBorder="1" applyAlignment="1">
      <alignment vertical="center"/>
    </xf>
    <xf numFmtId="176" fontId="7" fillId="0" borderId="14" xfId="0" applyNumberFormat="1" applyFont="1" applyBorder="1">
      <alignment vertical="center"/>
    </xf>
    <xf numFmtId="0" fontId="0" fillId="0" borderId="0" xfId="0" applyBorder="1" applyAlignment="1">
      <alignment horizontal="left" vertical="center"/>
    </xf>
    <xf numFmtId="0" fontId="13" fillId="0" borderId="15" xfId="0" applyFont="1" applyBorder="1" applyAlignment="1">
      <alignment horizontal="center" vertical="center"/>
    </xf>
    <xf numFmtId="176" fontId="0" fillId="0" borderId="15" xfId="0" applyNumberFormat="1" applyFill="1" applyBorder="1">
      <alignment vertical="center"/>
    </xf>
    <xf numFmtId="176" fontId="0" fillId="0" borderId="15" xfId="0" applyNumberFormat="1" applyBorder="1">
      <alignment vertical="center"/>
    </xf>
    <xf numFmtId="0" fontId="0" fillId="0" borderId="14" xfId="0" applyBorder="1">
      <alignment vertical="center"/>
    </xf>
    <xf numFmtId="176" fontId="21" fillId="0" borderId="15" xfId="0" applyNumberFormat="1" applyFont="1" applyFill="1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3" xfId="0" applyFill="1" applyBorder="1">
      <alignment vertical="center"/>
    </xf>
    <xf numFmtId="0" fontId="14" fillId="0" borderId="99" xfId="0" applyFont="1" applyBorder="1" applyAlignment="1">
      <alignment horizontal="center" vertical="center"/>
    </xf>
    <xf numFmtId="0" fontId="13" fillId="0" borderId="99" xfId="0" applyFont="1" applyBorder="1" applyAlignment="1">
      <alignment horizontal="center" vertical="center"/>
    </xf>
    <xf numFmtId="0" fontId="13" fillId="0" borderId="99" xfId="0" applyFont="1" applyBorder="1" applyAlignment="1">
      <alignment horizontal="center" vertical="center"/>
    </xf>
    <xf numFmtId="0" fontId="17" fillId="0" borderId="99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 wrapText="1"/>
    </xf>
    <xf numFmtId="0" fontId="0" fillId="0" borderId="105" xfId="0" applyBorder="1" applyAlignment="1">
      <alignment horizontal="center" vertical="center" wrapText="1"/>
    </xf>
    <xf numFmtId="49" fontId="0" fillId="0" borderId="105" xfId="0" applyNumberFormat="1" applyBorder="1" applyAlignment="1">
      <alignment horizontal="center" vertical="center"/>
    </xf>
    <xf numFmtId="0" fontId="15" fillId="0" borderId="105" xfId="0" applyFont="1" applyBorder="1" applyAlignment="1">
      <alignment vertical="center"/>
    </xf>
    <xf numFmtId="0" fontId="0" fillId="0" borderId="105" xfId="0" applyBorder="1" applyAlignment="1">
      <alignment vertical="center"/>
    </xf>
    <xf numFmtId="0" fontId="0" fillId="0" borderId="105" xfId="0" applyBorder="1" applyAlignment="1">
      <alignment vertical="center"/>
    </xf>
    <xf numFmtId="176" fontId="16" fillId="2" borderId="105" xfId="0" applyNumberFormat="1" applyFont="1" applyFill="1" applyBorder="1">
      <alignment vertical="center"/>
    </xf>
    <xf numFmtId="180" fontId="0" fillId="0" borderId="105" xfId="2" applyNumberFormat="1" applyFont="1" applyBorder="1">
      <alignment vertical="center"/>
    </xf>
    <xf numFmtId="176" fontId="0" fillId="0" borderId="105" xfId="0" applyNumberFormat="1" applyFill="1" applyBorder="1">
      <alignment vertical="center"/>
    </xf>
    <xf numFmtId="49" fontId="0" fillId="0" borderId="105" xfId="0" applyNumberFormat="1" applyBorder="1" applyAlignment="1">
      <alignment horizontal="center" vertical="center" wrapText="1"/>
    </xf>
    <xf numFmtId="0" fontId="15" fillId="0" borderId="105" xfId="0" applyFont="1" applyFill="1" applyBorder="1" applyAlignment="1">
      <alignment horizontal="left" vertical="center"/>
    </xf>
    <xf numFmtId="49" fontId="15" fillId="0" borderId="105" xfId="0" applyNumberFormat="1" applyFont="1" applyBorder="1">
      <alignment vertical="center"/>
    </xf>
    <xf numFmtId="176" fontId="2" fillId="0" borderId="105" xfId="0" applyNumberFormat="1" applyFont="1" applyBorder="1">
      <alignment vertical="center"/>
    </xf>
    <xf numFmtId="181" fontId="2" fillId="0" borderId="105" xfId="2" applyNumberFormat="1" applyFont="1" applyBorder="1">
      <alignment vertical="center"/>
    </xf>
    <xf numFmtId="0" fontId="0" fillId="0" borderId="105" xfId="0" applyBorder="1" applyAlignment="1">
      <alignment horizontal="center" vertical="center"/>
    </xf>
    <xf numFmtId="176" fontId="0" fillId="0" borderId="105" xfId="0" applyNumberFormat="1" applyBorder="1">
      <alignment vertical="center"/>
    </xf>
    <xf numFmtId="0" fontId="15" fillId="0" borderId="105" xfId="0" applyFont="1" applyBorder="1" applyAlignment="1">
      <alignment horizontal="left" vertical="center"/>
    </xf>
    <xf numFmtId="0" fontId="15" fillId="0" borderId="105" xfId="0" applyFont="1" applyBorder="1">
      <alignment vertical="center"/>
    </xf>
    <xf numFmtId="176" fontId="16" fillId="0" borderId="105" xfId="0" applyNumberFormat="1" applyFont="1" applyBorder="1">
      <alignment vertical="center"/>
    </xf>
    <xf numFmtId="0" fontId="0" fillId="0" borderId="105" xfId="0" applyBorder="1" applyAlignment="1">
      <alignment horizontal="left" vertical="center"/>
    </xf>
    <xf numFmtId="176" fontId="0" fillId="4" borderId="105" xfId="0" applyNumberFormat="1" applyFill="1" applyBorder="1">
      <alignment vertical="center"/>
    </xf>
    <xf numFmtId="0" fontId="0" fillId="0" borderId="105" xfId="0" applyFill="1" applyBorder="1" applyAlignment="1">
      <alignment horizontal="center" vertical="center"/>
    </xf>
    <xf numFmtId="0" fontId="0" fillId="0" borderId="105" xfId="0" applyBorder="1">
      <alignment vertical="center"/>
    </xf>
    <xf numFmtId="0" fontId="0" fillId="0" borderId="105" xfId="0" applyBorder="1">
      <alignment vertical="center"/>
    </xf>
    <xf numFmtId="0" fontId="0" fillId="0" borderId="105" xfId="0" applyBorder="1" applyAlignment="1">
      <alignment vertical="center" wrapText="1"/>
    </xf>
    <xf numFmtId="0" fontId="0" fillId="0" borderId="105" xfId="0" applyBorder="1" applyAlignment="1">
      <alignment vertical="center" wrapText="1"/>
    </xf>
    <xf numFmtId="0" fontId="0" fillId="0" borderId="117" xfId="0" applyBorder="1" applyAlignment="1">
      <alignment horizontal="center" vertical="center"/>
    </xf>
    <xf numFmtId="0" fontId="0" fillId="0" borderId="117" xfId="0" applyBorder="1">
      <alignment vertical="center"/>
    </xf>
    <xf numFmtId="0" fontId="7" fillId="3" borderId="20" xfId="0" applyFont="1" applyFill="1" applyBorder="1" applyAlignment="1">
      <alignment horizontal="center" vertical="center"/>
    </xf>
    <xf numFmtId="176" fontId="21" fillId="5" borderId="20" xfId="0" applyNumberFormat="1" applyFont="1" applyFill="1" applyBorder="1">
      <alignment vertical="center"/>
    </xf>
    <xf numFmtId="0" fontId="0" fillId="0" borderId="117" xfId="0" applyFill="1" applyBorder="1" applyAlignment="1">
      <alignment horizontal="center" vertical="center"/>
    </xf>
    <xf numFmtId="0" fontId="0" fillId="0" borderId="117" xfId="0" applyBorder="1" applyAlignment="1">
      <alignment horizontal="center" vertical="center"/>
    </xf>
    <xf numFmtId="0" fontId="0" fillId="0" borderId="117" xfId="0" applyBorder="1">
      <alignment vertical="center"/>
    </xf>
    <xf numFmtId="176" fontId="2" fillId="0" borderId="117" xfId="0" applyNumberFormat="1" applyFont="1" applyBorder="1">
      <alignment vertical="center"/>
    </xf>
    <xf numFmtId="183" fontId="2" fillId="0" borderId="117" xfId="2" applyNumberFormat="1" applyFont="1" applyBorder="1">
      <alignment vertical="center"/>
    </xf>
    <xf numFmtId="176" fontId="0" fillId="4" borderId="117" xfId="0" applyNumberFormat="1" applyFill="1" applyBorder="1">
      <alignment vertical="center"/>
    </xf>
    <xf numFmtId="0" fontId="0" fillId="0" borderId="30" xfId="0" applyBorder="1">
      <alignment vertical="center"/>
    </xf>
    <xf numFmtId="0" fontId="16" fillId="0" borderId="30" xfId="0" applyFont="1" applyBorder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15" fillId="0" borderId="117" xfId="0" applyFont="1" applyBorder="1" applyAlignment="1">
      <alignment horizontal="center" vertical="center"/>
    </xf>
    <xf numFmtId="0" fontId="15" fillId="0" borderId="117" xfId="0" applyFont="1" applyBorder="1">
      <alignment vertical="center"/>
    </xf>
    <xf numFmtId="181" fontId="2" fillId="0" borderId="117" xfId="2" applyNumberFormat="1" applyFont="1" applyBorder="1">
      <alignment vertical="center"/>
    </xf>
    <xf numFmtId="176" fontId="0" fillId="3" borderId="117" xfId="0" applyNumberFormat="1" applyFill="1" applyBorder="1">
      <alignment vertical="center"/>
    </xf>
    <xf numFmtId="0" fontId="0" fillId="0" borderId="118" xfId="0" applyFill="1" applyBorder="1" applyAlignment="1">
      <alignment horizontal="center" vertical="center"/>
    </xf>
    <xf numFmtId="0" fontId="0" fillId="0" borderId="118" xfId="0" applyBorder="1" applyAlignment="1">
      <alignment horizontal="center" vertical="center"/>
    </xf>
    <xf numFmtId="0" fontId="0" fillId="0" borderId="118" xfId="0" applyBorder="1">
      <alignment vertical="center"/>
    </xf>
    <xf numFmtId="0" fontId="0" fillId="0" borderId="118" xfId="0" applyBorder="1">
      <alignment vertical="center"/>
    </xf>
    <xf numFmtId="176" fontId="2" fillId="0" borderId="118" xfId="0" applyNumberFormat="1" applyFont="1" applyBorder="1">
      <alignment vertical="center"/>
    </xf>
    <xf numFmtId="181" fontId="2" fillId="0" borderId="118" xfId="2" applyNumberFormat="1" applyFont="1" applyBorder="1">
      <alignment vertical="center"/>
    </xf>
    <xf numFmtId="176" fontId="0" fillId="4" borderId="118" xfId="0" applyNumberFormat="1" applyFill="1" applyBorder="1">
      <alignment vertical="center"/>
    </xf>
    <xf numFmtId="0" fontId="0" fillId="0" borderId="117" xfId="0" applyBorder="1" applyAlignment="1">
      <alignment horizontal="center" vertical="center" wrapText="1"/>
    </xf>
    <xf numFmtId="0" fontId="0" fillId="0" borderId="118" xfId="0" applyBorder="1" applyAlignment="1">
      <alignment horizontal="center" vertical="center"/>
    </xf>
    <xf numFmtId="0" fontId="15" fillId="0" borderId="118" xfId="0" applyFont="1" applyBorder="1" applyAlignment="1">
      <alignment horizontal="center" vertical="center"/>
    </xf>
    <xf numFmtId="0" fontId="15" fillId="0" borderId="118" xfId="0" applyFont="1" applyBorder="1">
      <alignment vertical="center"/>
    </xf>
    <xf numFmtId="176" fontId="0" fillId="3" borderId="118" xfId="0" applyNumberFormat="1" applyFill="1" applyBorder="1">
      <alignment vertical="center"/>
    </xf>
    <xf numFmtId="0" fontId="19" fillId="0" borderId="20" xfId="0" applyFont="1" applyBorder="1" applyAlignment="1">
      <alignment horizontal="center" vertical="center"/>
    </xf>
    <xf numFmtId="0" fontId="20" fillId="0" borderId="20" xfId="0" applyFont="1" applyBorder="1" applyAlignment="1">
      <alignment horizontal="left" vertical="center"/>
    </xf>
    <xf numFmtId="49" fontId="0" fillId="0" borderId="117" xfId="0" applyNumberFormat="1" applyBorder="1" applyAlignment="1">
      <alignment horizontal="center" vertical="center" wrapText="1"/>
    </xf>
    <xf numFmtId="0" fontId="15" fillId="0" borderId="117" xfId="0" applyFont="1" applyBorder="1" applyAlignment="1">
      <alignment horizontal="left" vertical="center"/>
    </xf>
    <xf numFmtId="49" fontId="15" fillId="0" borderId="117" xfId="0" applyNumberFormat="1" applyFont="1" applyBorder="1">
      <alignment vertical="center"/>
    </xf>
    <xf numFmtId="176" fontId="0" fillId="0" borderId="117" xfId="0" applyNumberFormat="1" applyBorder="1">
      <alignment vertical="center"/>
    </xf>
    <xf numFmtId="0" fontId="10" fillId="0" borderId="19" xfId="0" applyFont="1" applyBorder="1" applyAlignment="1">
      <alignment horizontal="right" vertical="center" wrapText="1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8">
    <pageSetUpPr fitToPage="1"/>
  </sheetPr>
  <dimension ref="B1:AL70"/>
  <sheetViews>
    <sheetView zoomScale="70" zoomScaleNormal="70" workbookViewId="0">
      <selection activeCell="P2" sqref="P2:Q2"/>
    </sheetView>
  </sheetViews>
  <sheetFormatPr defaultRowHeight="17"/>
  <cols>
    <col min="2" max="2" width="23.58203125" customWidth="1"/>
    <col min="3" max="3" width="9.4140625" bestFit="1" customWidth="1"/>
    <col min="4" max="4" width="10.08203125" customWidth="1"/>
    <col min="5" max="5" width="13.08203125" bestFit="1" customWidth="1"/>
    <col min="6" max="6" width="12.4140625" bestFit="1" customWidth="1"/>
    <col min="7" max="7" width="7.33203125" customWidth="1"/>
    <col min="8" max="8" width="7.08203125" customWidth="1"/>
    <col min="12" max="12" width="19.9140625" customWidth="1"/>
    <col min="13" max="13" width="5" customWidth="1"/>
    <col min="14" max="14" width="9.08203125" customWidth="1"/>
    <col min="15" max="15" width="4.83203125" customWidth="1"/>
    <col min="16" max="16" width="6.58203125" style="10" customWidth="1"/>
    <col min="17" max="17" width="7.33203125" style="10" customWidth="1"/>
    <col min="18" max="18" width="5" style="10" customWidth="1"/>
    <col min="19" max="19" width="35" style="10" bestFit="1" customWidth="1"/>
    <col min="20" max="20" width="29.33203125" style="10" bestFit="1" customWidth="1"/>
    <col min="21" max="21" width="13.5" style="10" bestFit="1" customWidth="1"/>
    <col min="22" max="22" width="5.75" style="10" customWidth="1"/>
    <col min="23" max="23" width="6.08203125" style="10" customWidth="1"/>
    <col min="24" max="24" width="19.83203125" style="10" customWidth="1"/>
    <col min="25" max="25" width="4.75" style="10" customWidth="1"/>
    <col min="26" max="26" width="12.4140625" style="10" bestFit="1" customWidth="1"/>
    <col min="27" max="27" width="5.33203125" customWidth="1"/>
    <col min="29" max="29" width="12.33203125" bestFit="1" customWidth="1"/>
    <col min="31" max="31" width="11.1640625" customWidth="1"/>
    <col min="32" max="32" width="7.75" customWidth="1"/>
    <col min="33" max="33" width="2.75" customWidth="1"/>
    <col min="34" max="34" width="3.25" customWidth="1"/>
    <col min="35" max="35" width="2.4140625" customWidth="1"/>
    <col min="36" max="36" width="4" customWidth="1"/>
    <col min="37" max="37" width="2.83203125" customWidth="1"/>
  </cols>
  <sheetData>
    <row r="1" spans="2:38" ht="17.5" thickBot="1"/>
    <row r="2" spans="2:38" ht="32" customHeight="1" thickBot="1">
      <c r="B2" s="265" t="s">
        <v>204</v>
      </c>
      <c r="O2" s="237"/>
      <c r="P2" s="297" t="s">
        <v>203</v>
      </c>
      <c r="Q2" s="298"/>
      <c r="R2" s="285" t="s">
        <v>218</v>
      </c>
      <c r="S2" s="286"/>
      <c r="T2" s="238"/>
      <c r="U2" s="238"/>
      <c r="V2" s="238"/>
      <c r="W2" s="238"/>
      <c r="X2" s="238"/>
      <c r="Y2" s="239"/>
      <c r="AB2" s="297" t="s">
        <v>213</v>
      </c>
      <c r="AC2" s="298"/>
    </row>
    <row r="3" spans="2:38" ht="33" customHeight="1">
      <c r="B3" s="269"/>
      <c r="M3" s="1"/>
      <c r="O3" s="240"/>
      <c r="P3" s="279" t="s">
        <v>211</v>
      </c>
      <c r="Q3" s="279"/>
      <c r="R3" s="279"/>
      <c r="S3" s="279"/>
      <c r="T3" s="279"/>
      <c r="U3" s="279"/>
      <c r="V3" s="279"/>
      <c r="W3" s="279"/>
      <c r="X3" s="279"/>
      <c r="Y3" s="241"/>
      <c r="AB3" s="163"/>
      <c r="AC3" s="164"/>
      <c r="AD3" s="164"/>
      <c r="AE3" s="164"/>
      <c r="AF3" s="164"/>
      <c r="AG3" s="164"/>
      <c r="AH3" s="164"/>
      <c r="AI3" s="164"/>
      <c r="AJ3" s="164"/>
      <c r="AK3" s="164"/>
      <c r="AL3" s="165"/>
    </row>
    <row r="4" spans="2:38" ht="20" customHeight="1" thickBot="1">
      <c r="B4" s="208" t="s">
        <v>217</v>
      </c>
      <c r="C4" s="1"/>
      <c r="D4" s="1"/>
      <c r="E4" s="1"/>
      <c r="F4" s="1"/>
      <c r="G4" s="1"/>
      <c r="H4" s="1"/>
      <c r="I4" s="1"/>
      <c r="J4" s="1"/>
      <c r="K4" s="1"/>
      <c r="L4" s="1"/>
      <c r="M4" s="2"/>
      <c r="O4" s="240"/>
      <c r="P4" s="279"/>
      <c r="Q4" s="279"/>
      <c r="R4" s="279"/>
      <c r="S4" s="279"/>
      <c r="T4" s="279"/>
      <c r="U4" s="279"/>
      <c r="V4" s="279"/>
      <c r="W4" s="279"/>
      <c r="X4" s="279"/>
      <c r="Y4" s="241"/>
      <c r="AB4" s="167"/>
      <c r="AC4" s="168"/>
      <c r="AD4" s="168"/>
      <c r="AE4" s="168"/>
      <c r="AF4" s="168"/>
      <c r="AG4" s="168"/>
      <c r="AH4" s="168"/>
      <c r="AI4" s="168"/>
      <c r="AJ4" s="168"/>
      <c r="AK4" s="168"/>
      <c r="AL4" s="169"/>
    </row>
    <row r="5" spans="2:38" ht="21" customHeight="1">
      <c r="B5" s="208"/>
      <c r="C5" s="1"/>
      <c r="D5" s="1"/>
      <c r="E5" s="1"/>
      <c r="F5" s="1"/>
      <c r="G5" s="1"/>
      <c r="H5" s="1"/>
      <c r="I5" s="1"/>
      <c r="J5" s="1"/>
      <c r="K5" s="1"/>
      <c r="L5" s="1"/>
      <c r="M5" s="5"/>
      <c r="O5" s="240"/>
      <c r="P5" s="320" t="s">
        <v>212</v>
      </c>
      <c r="Q5" s="321"/>
      <c r="R5" s="321"/>
      <c r="S5" s="281">
        <f>X61</f>
        <v>253440000</v>
      </c>
      <c r="T5" s="282"/>
      <c r="U5" s="275"/>
      <c r="V5" s="6"/>
      <c r="W5" s="17"/>
      <c r="X5" s="15" t="s">
        <v>0</v>
      </c>
      <c r="Y5" s="241"/>
      <c r="AB5" s="342" t="s">
        <v>181</v>
      </c>
      <c r="AC5" s="343"/>
      <c r="AD5" s="343"/>
      <c r="AE5" s="343"/>
      <c r="AF5" s="343"/>
      <c r="AG5" s="343"/>
      <c r="AH5" s="343"/>
      <c r="AI5" s="343"/>
      <c r="AJ5" s="343"/>
      <c r="AK5" s="343"/>
      <c r="AL5" s="344"/>
    </row>
    <row r="6" spans="2:38" ht="20" customHeight="1" thickBot="1">
      <c r="B6" s="266" t="s">
        <v>205</v>
      </c>
      <c r="C6" s="315">
        <v>3000000000</v>
      </c>
      <c r="D6" s="315"/>
      <c r="E6" s="280" t="s">
        <v>202</v>
      </c>
      <c r="F6" s="280"/>
      <c r="G6" s="280"/>
      <c r="H6" s="280"/>
      <c r="I6" s="280"/>
      <c r="J6" s="280"/>
      <c r="K6" s="280"/>
      <c r="L6" s="280"/>
      <c r="M6" s="5"/>
      <c r="O6" s="240"/>
      <c r="P6" s="322"/>
      <c r="Q6" s="323"/>
      <c r="R6" s="323"/>
      <c r="S6" s="283"/>
      <c r="T6" s="284"/>
      <c r="U6" s="275"/>
      <c r="V6" s="6"/>
      <c r="W6" s="17"/>
      <c r="X6" s="15"/>
      <c r="Y6" s="242"/>
      <c r="Z6" s="13"/>
      <c r="AB6" s="342"/>
      <c r="AC6" s="343"/>
      <c r="AD6" s="343"/>
      <c r="AE6" s="343"/>
      <c r="AF6" s="343"/>
      <c r="AG6" s="343"/>
      <c r="AH6" s="343"/>
      <c r="AI6" s="343"/>
      <c r="AJ6" s="343"/>
      <c r="AK6" s="343"/>
      <c r="AL6" s="344"/>
    </row>
    <row r="7" spans="2:38" ht="20" customHeight="1" thickBot="1">
      <c r="B7" s="267" t="s">
        <v>206</v>
      </c>
      <c r="C7" s="316" t="s">
        <v>219</v>
      </c>
      <c r="D7" s="316"/>
      <c r="E7" s="280"/>
      <c r="F7" s="280"/>
      <c r="G7" s="280"/>
      <c r="H7" s="280"/>
      <c r="I7" s="280"/>
      <c r="J7" s="280"/>
      <c r="K7" s="280"/>
      <c r="L7" s="280"/>
      <c r="M7" s="2"/>
      <c r="O7" s="240"/>
      <c r="P7" s="270"/>
      <c r="Q7" s="270"/>
      <c r="R7" s="271"/>
      <c r="S7" s="272"/>
      <c r="T7" s="272"/>
      <c r="U7" s="6"/>
      <c r="V7" s="6"/>
      <c r="W7" s="17"/>
      <c r="X7" s="15"/>
      <c r="Y7" s="243"/>
      <c r="Z7" s="16"/>
      <c r="AB7" s="342"/>
      <c r="AC7" s="343"/>
      <c r="AD7" s="343"/>
      <c r="AE7" s="343"/>
      <c r="AF7" s="343"/>
      <c r="AG7" s="343"/>
      <c r="AH7" s="343"/>
      <c r="AI7" s="343"/>
      <c r="AJ7" s="343"/>
      <c r="AK7" s="343"/>
      <c r="AL7" s="344"/>
    </row>
    <row r="8" spans="2:38" ht="20" customHeight="1" thickBot="1">
      <c r="B8" s="268" t="s">
        <v>207</v>
      </c>
      <c r="C8" s="317">
        <v>3.8399999999999997E-2</v>
      </c>
      <c r="D8" s="317"/>
      <c r="E8" s="280"/>
      <c r="F8" s="280"/>
      <c r="G8" s="280"/>
      <c r="H8" s="280"/>
      <c r="I8" s="280"/>
      <c r="J8" s="280"/>
      <c r="K8" s="280"/>
      <c r="L8" s="280"/>
      <c r="M8" s="250"/>
      <c r="O8" s="240"/>
      <c r="P8" s="174" t="s">
        <v>3</v>
      </c>
      <c r="Q8" s="175"/>
      <c r="R8" s="176" t="s">
        <v>197</v>
      </c>
      <c r="S8" s="176" t="s">
        <v>5</v>
      </c>
      <c r="T8" s="20" t="s">
        <v>6</v>
      </c>
      <c r="U8" s="20" t="s">
        <v>7</v>
      </c>
      <c r="V8" s="20" t="s">
        <v>8</v>
      </c>
      <c r="W8" s="20" t="s">
        <v>9</v>
      </c>
      <c r="X8" s="20" t="s">
        <v>10</v>
      </c>
      <c r="Y8" s="244"/>
      <c r="Z8" s="18"/>
      <c r="AB8" s="116"/>
      <c r="AC8" s="117"/>
      <c r="AD8" s="117"/>
      <c r="AE8" s="117"/>
      <c r="AF8" s="117"/>
      <c r="AG8" s="118"/>
      <c r="AH8" s="118"/>
      <c r="AI8" s="118"/>
      <c r="AJ8" s="118"/>
      <c r="AK8" s="118"/>
      <c r="AL8" s="119"/>
    </row>
    <row r="9" spans="2:38" ht="20" customHeight="1" thickBot="1">
      <c r="B9" s="307" t="s">
        <v>208</v>
      </c>
      <c r="C9" s="307"/>
      <c r="D9" s="307"/>
      <c r="E9" s="307"/>
      <c r="F9" s="307"/>
      <c r="G9" s="307"/>
      <c r="H9" s="307"/>
      <c r="I9" s="307"/>
      <c r="J9" s="307"/>
      <c r="K9" s="307"/>
      <c r="L9" s="307"/>
      <c r="M9" s="250"/>
      <c r="O9" s="240"/>
      <c r="P9" s="177" t="s">
        <v>15</v>
      </c>
      <c r="Q9" s="178"/>
      <c r="R9" s="179" t="s">
        <v>16</v>
      </c>
      <c r="S9" s="180" t="s">
        <v>17</v>
      </c>
      <c r="T9" s="24" t="s">
        <v>18</v>
      </c>
      <c r="U9" s="25">
        <f>X61</f>
        <v>253440000</v>
      </c>
      <c r="V9" s="233">
        <v>0</v>
      </c>
      <c r="W9" s="26" t="s">
        <v>19</v>
      </c>
      <c r="X9" s="216">
        <f>X61*V9/100</f>
        <v>0</v>
      </c>
      <c r="Y9" s="243"/>
      <c r="Z9" s="19"/>
      <c r="AB9" s="120"/>
      <c r="AC9" s="149" t="s">
        <v>188</v>
      </c>
      <c r="AD9" s="346" t="s">
        <v>189</v>
      </c>
      <c r="AE9" s="346"/>
      <c r="AF9" s="346"/>
      <c r="AG9" s="346"/>
      <c r="AH9" s="346"/>
      <c r="AI9" s="346"/>
      <c r="AJ9" s="346"/>
      <c r="AK9" s="121"/>
      <c r="AL9" s="122"/>
    </row>
    <row r="10" spans="2:38" ht="20" customHeight="1" thickBot="1"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12"/>
      <c r="O10" s="240"/>
      <c r="P10" s="181" t="s">
        <v>25</v>
      </c>
      <c r="Q10" s="32" t="s">
        <v>26</v>
      </c>
      <c r="R10" s="182" t="s">
        <v>27</v>
      </c>
      <c r="S10" s="180" t="s">
        <v>28</v>
      </c>
      <c r="T10" s="33" t="s">
        <v>29</v>
      </c>
      <c r="U10" s="34">
        <v>115199999.99999999</v>
      </c>
      <c r="V10" s="234" ph="1">
        <v>1</v>
      </c>
      <c r="W10" s="35" t="s">
        <v>30</v>
      </c>
      <c r="X10" s="217">
        <f>U10*V10</f>
        <v>115199999.99999999</v>
      </c>
      <c r="Y10" s="243"/>
      <c r="Z10" s="19"/>
      <c r="AB10" s="157"/>
      <c r="AC10" s="158" t="s">
        <v>190</v>
      </c>
      <c r="AD10" s="345" t="s">
        <v>191</v>
      </c>
      <c r="AE10" s="345"/>
      <c r="AF10" s="345"/>
      <c r="AG10" s="345"/>
      <c r="AH10" s="345"/>
      <c r="AI10" s="345"/>
      <c r="AJ10" s="345"/>
      <c r="AK10" s="123"/>
      <c r="AL10" s="124"/>
    </row>
    <row r="11" spans="2:38" ht="20" customHeight="1" thickBot="1"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155"/>
      <c r="O11" s="240"/>
      <c r="P11" s="183"/>
      <c r="Q11" s="183" t="s">
        <v>31</v>
      </c>
      <c r="R11" s="184" t="s">
        <v>32</v>
      </c>
      <c r="S11" s="185" t="s">
        <v>33</v>
      </c>
      <c r="T11" s="41" t="s">
        <v>34</v>
      </c>
      <c r="U11" s="42">
        <f>X10</f>
        <v>115199999.99999999</v>
      </c>
      <c r="V11" s="232" ph="1">
        <v>0</v>
      </c>
      <c r="W11" s="43" t="s">
        <v>30</v>
      </c>
      <c r="X11" s="218">
        <v>0</v>
      </c>
      <c r="Y11" s="243"/>
      <c r="Z11" s="19"/>
      <c r="AB11" s="159"/>
      <c r="AC11" s="158"/>
      <c r="AD11" s="347"/>
      <c r="AE11" s="347"/>
      <c r="AF11" s="347"/>
      <c r="AG11" s="347"/>
      <c r="AH11" s="347"/>
      <c r="AI11" s="347"/>
      <c r="AJ11" s="347"/>
      <c r="AK11" s="123"/>
      <c r="AL11" s="124"/>
    </row>
    <row r="12" spans="2:38" ht="20" customHeight="1" thickBot="1">
      <c r="B12" s="377" t="s">
        <v>209</v>
      </c>
      <c r="C12" s="378"/>
      <c r="D12" s="299">
        <v>115199999.99999999</v>
      </c>
      <c r="E12" s="299"/>
      <c r="F12" s="299"/>
      <c r="G12" s="300"/>
      <c r="H12" s="14"/>
      <c r="I12" s="14"/>
      <c r="J12" s="14"/>
      <c r="K12" s="14"/>
      <c r="L12" s="14"/>
      <c r="M12" s="155"/>
      <c r="O12" s="240"/>
      <c r="P12" s="183"/>
      <c r="Q12" s="183"/>
      <c r="R12" s="186" t="s">
        <v>35</v>
      </c>
      <c r="S12" s="187" t="s">
        <v>36</v>
      </c>
      <c r="T12" s="49" t="s">
        <v>34</v>
      </c>
      <c r="U12" s="50">
        <f>X10</f>
        <v>115199999.99999999</v>
      </c>
      <c r="V12" s="232" ph="1">
        <v>0</v>
      </c>
      <c r="W12" s="51" t="s">
        <v>30</v>
      </c>
      <c r="X12" s="219">
        <v>0</v>
      </c>
      <c r="Y12" s="243"/>
      <c r="Z12" s="19"/>
      <c r="AB12" s="159"/>
      <c r="AC12" s="158"/>
      <c r="AD12" s="347"/>
      <c r="AE12" s="347"/>
      <c r="AF12" s="347"/>
      <c r="AG12" s="347"/>
      <c r="AH12" s="347"/>
      <c r="AI12" s="347"/>
      <c r="AJ12" s="347"/>
      <c r="AK12" s="123"/>
      <c r="AL12" s="124"/>
    </row>
    <row r="13" spans="2:38" ht="20" customHeight="1" thickBot="1">
      <c r="B13" s="379"/>
      <c r="C13" s="380"/>
      <c r="D13" s="301"/>
      <c r="E13" s="301"/>
      <c r="F13" s="301"/>
      <c r="G13" s="302"/>
      <c r="H13" s="263"/>
      <c r="I13" s="263"/>
      <c r="J13" s="263"/>
      <c r="K13" s="263"/>
      <c r="L13" s="263"/>
      <c r="M13" s="251"/>
      <c r="O13" s="240"/>
      <c r="P13" s="183"/>
      <c r="Q13" s="183"/>
      <c r="R13" s="188" t="s">
        <v>37</v>
      </c>
      <c r="S13" s="187" t="s">
        <v>38</v>
      </c>
      <c r="T13" s="49" t="s">
        <v>34</v>
      </c>
      <c r="U13" s="50">
        <f>X10</f>
        <v>115199999.99999999</v>
      </c>
      <c r="V13" s="232" ph="1">
        <v>0</v>
      </c>
      <c r="W13" s="51" t="s">
        <v>30</v>
      </c>
      <c r="X13" s="219">
        <v>0</v>
      </c>
      <c r="Y13" s="245"/>
      <c r="Z13" s="19"/>
      <c r="AB13" s="126"/>
      <c r="AC13" s="339" t="s">
        <v>192</v>
      </c>
      <c r="AD13" s="339"/>
      <c r="AE13" s="339"/>
      <c r="AF13" s="339"/>
      <c r="AG13" s="339"/>
      <c r="AH13" s="339"/>
      <c r="AI13" s="339"/>
      <c r="AJ13" s="339"/>
      <c r="AK13" s="339"/>
      <c r="AL13" s="124"/>
    </row>
    <row r="14" spans="2:38" ht="20" customHeight="1" thickBot="1">
      <c r="B14" s="273"/>
      <c r="C14" s="273"/>
      <c r="D14" s="274"/>
      <c r="E14" s="274"/>
      <c r="F14" s="274"/>
      <c r="G14" s="274"/>
      <c r="H14" s="263"/>
      <c r="I14" s="263"/>
      <c r="J14" s="263"/>
      <c r="K14" s="263"/>
      <c r="L14" s="263"/>
      <c r="M14" s="12"/>
      <c r="O14" s="240"/>
      <c r="P14" s="183"/>
      <c r="Q14" s="183"/>
      <c r="R14" s="186" t="s">
        <v>39</v>
      </c>
      <c r="S14" s="187" t="s">
        <v>40</v>
      </c>
      <c r="T14" s="49" t="s">
        <v>41</v>
      </c>
      <c r="U14" s="50">
        <v>0</v>
      </c>
      <c r="V14" s="232" ph="1">
        <v>0</v>
      </c>
      <c r="W14" s="51" t="s">
        <v>42</v>
      </c>
      <c r="X14" s="219">
        <f>U14*V14</f>
        <v>0</v>
      </c>
      <c r="Y14" s="243"/>
      <c r="Z14" s="19"/>
      <c r="AB14" s="126"/>
      <c r="AC14" s="149"/>
      <c r="AD14" s="160"/>
      <c r="AE14" s="123"/>
      <c r="AF14" s="123"/>
      <c r="AG14" s="123"/>
      <c r="AH14" s="127"/>
      <c r="AI14" s="161"/>
      <c r="AJ14" s="125"/>
      <c r="AK14" s="125"/>
      <c r="AL14" s="154"/>
    </row>
    <row r="15" spans="2:38" ht="20" customHeight="1" thickBot="1">
      <c r="B15" s="8" t="s">
        <v>1</v>
      </c>
      <c r="C15" s="8"/>
      <c r="D15" s="9"/>
      <c r="E15" s="9"/>
      <c r="F15" s="9"/>
      <c r="G15" s="9"/>
      <c r="H15" s="9"/>
      <c r="I15" s="9"/>
      <c r="J15" s="9"/>
      <c r="K15" s="9"/>
      <c r="L15" s="9" t="s">
        <v>2</v>
      </c>
      <c r="M15" s="9"/>
      <c r="O15" s="240"/>
      <c r="P15" s="183"/>
      <c r="Q15" s="183"/>
      <c r="R15" s="188" t="s">
        <v>43</v>
      </c>
      <c r="S15" s="187" t="s">
        <v>44</v>
      </c>
      <c r="T15" s="49" t="s">
        <v>45</v>
      </c>
      <c r="U15" s="50">
        <v>0</v>
      </c>
      <c r="V15" s="232" ph="1">
        <v>0</v>
      </c>
      <c r="W15" s="51" t="s">
        <v>46</v>
      </c>
      <c r="X15" s="220">
        <f>U15*V15/100</f>
        <v>0</v>
      </c>
      <c r="Y15" s="243"/>
      <c r="Z15" s="19"/>
      <c r="AB15" s="128"/>
      <c r="AC15" s="149"/>
      <c r="AD15" s="160"/>
      <c r="AE15" s="123"/>
      <c r="AF15" s="123"/>
      <c r="AG15" s="123"/>
      <c r="AH15" s="127"/>
      <c r="AI15" s="129"/>
      <c r="AJ15" s="125"/>
      <c r="AK15" s="130"/>
      <c r="AL15" s="131"/>
    </row>
    <row r="16" spans="2:38" ht="20" customHeight="1" thickBot="1">
      <c r="B16" s="22" t="s">
        <v>3</v>
      </c>
      <c r="C16" s="23" t="s">
        <v>11</v>
      </c>
      <c r="D16" s="276" t="s">
        <v>12</v>
      </c>
      <c r="E16" s="277"/>
      <c r="F16" s="278"/>
      <c r="G16" s="357" t="s">
        <v>13</v>
      </c>
      <c r="H16" s="277"/>
      <c r="I16" s="278"/>
      <c r="J16" s="357" t="s">
        <v>14</v>
      </c>
      <c r="K16" s="277"/>
      <c r="L16" s="358"/>
      <c r="M16" s="7"/>
      <c r="O16" s="240"/>
      <c r="P16" s="183"/>
      <c r="Q16" s="183"/>
      <c r="R16" s="186" t="s">
        <v>47</v>
      </c>
      <c r="S16" s="187" t="s">
        <v>48</v>
      </c>
      <c r="T16" s="49" t="s">
        <v>49</v>
      </c>
      <c r="U16" s="50">
        <v>0</v>
      </c>
      <c r="V16" s="232" ph="1">
        <v>0</v>
      </c>
      <c r="W16" s="51" t="s">
        <v>46</v>
      </c>
      <c r="X16" s="219">
        <f>U16*V16/100</f>
        <v>0</v>
      </c>
      <c r="Y16" s="243"/>
      <c r="Z16" s="19"/>
      <c r="AB16" s="128"/>
      <c r="AC16" s="338">
        <v>0</v>
      </c>
      <c r="AD16" s="338"/>
      <c r="AE16" s="338"/>
      <c r="AF16" s="338"/>
      <c r="AG16" s="338"/>
      <c r="AH16" s="338"/>
      <c r="AI16" s="338"/>
      <c r="AJ16" s="338"/>
      <c r="AK16" s="338"/>
      <c r="AL16" s="124"/>
    </row>
    <row r="17" spans="2:38" ht="20" customHeight="1" thickBot="1">
      <c r="B17" s="27" t="s">
        <v>20</v>
      </c>
      <c r="C17" s="28" t="s">
        <v>21</v>
      </c>
      <c r="D17" s="29" t="s">
        <v>22</v>
      </c>
      <c r="E17" s="30" t="s">
        <v>23</v>
      </c>
      <c r="F17" s="30" t="s">
        <v>24</v>
      </c>
      <c r="G17" s="30" t="s">
        <v>22</v>
      </c>
      <c r="H17" s="30" t="s">
        <v>23</v>
      </c>
      <c r="I17" s="30" t="s">
        <v>24</v>
      </c>
      <c r="J17" s="30" t="s">
        <v>22</v>
      </c>
      <c r="K17" s="30" t="s">
        <v>23</v>
      </c>
      <c r="L17" s="31" t="s">
        <v>24</v>
      </c>
      <c r="M17" s="7"/>
      <c r="O17" s="240"/>
      <c r="P17" s="183"/>
      <c r="Q17" s="183"/>
      <c r="R17" s="188" t="s">
        <v>50</v>
      </c>
      <c r="S17" s="189" t="s">
        <v>51</v>
      </c>
      <c r="T17" s="49" t="s">
        <v>52</v>
      </c>
      <c r="U17" s="50">
        <v>0</v>
      </c>
      <c r="V17" s="232" ph="1">
        <v>0</v>
      </c>
      <c r="W17" s="51" t="s">
        <v>19</v>
      </c>
      <c r="X17" s="219">
        <f>U17*V17/100</f>
        <v>0</v>
      </c>
      <c r="Y17" s="243"/>
      <c r="Z17" s="19"/>
      <c r="AB17" s="128"/>
      <c r="AC17" s="150"/>
      <c r="AD17" s="136"/>
      <c r="AE17" s="123"/>
      <c r="AF17" s="123"/>
      <c r="AG17" s="132"/>
      <c r="AH17" s="133"/>
      <c r="AI17" s="134"/>
      <c r="AJ17" s="125"/>
      <c r="AK17" s="130"/>
      <c r="AL17" s="124"/>
    </row>
    <row r="18" spans="2:38" ht="20" customHeight="1" thickBot="1">
      <c r="B18" s="36">
        <v>50000000</v>
      </c>
      <c r="C18" s="37"/>
      <c r="D18" s="38">
        <v>11.83</v>
      </c>
      <c r="E18" s="39">
        <v>9.86</v>
      </c>
      <c r="F18" s="39">
        <v>7.88</v>
      </c>
      <c r="G18" s="39">
        <v>10.75</v>
      </c>
      <c r="H18" s="39">
        <v>8.9600000000000009</v>
      </c>
      <c r="I18" s="39">
        <v>7.17</v>
      </c>
      <c r="J18" s="39">
        <v>9.68</v>
      </c>
      <c r="K18" s="39">
        <v>8.06</v>
      </c>
      <c r="L18" s="40">
        <v>6.45</v>
      </c>
      <c r="M18" s="252"/>
      <c r="O18" s="240"/>
      <c r="P18" s="183"/>
      <c r="Q18" s="183"/>
      <c r="R18" s="188" t="s">
        <v>53</v>
      </c>
      <c r="S18" s="189" t="s">
        <v>54</v>
      </c>
      <c r="T18" s="49" t="s">
        <v>55</v>
      </c>
      <c r="U18" s="50">
        <v>0</v>
      </c>
      <c r="V18" s="232" ph="1">
        <v>0</v>
      </c>
      <c r="W18" s="51" t="s">
        <v>56</v>
      </c>
      <c r="X18" s="219">
        <f t="shared" ref="X18:X37" si="0">U18*V18</f>
        <v>0</v>
      </c>
      <c r="Y18" s="243"/>
      <c r="Z18" s="211"/>
      <c r="AB18" s="128"/>
      <c r="AC18" s="135"/>
      <c r="AD18" s="137"/>
      <c r="AE18" s="123"/>
      <c r="AF18" s="123"/>
      <c r="AG18" s="132"/>
      <c r="AH18" s="133"/>
      <c r="AI18" s="134"/>
      <c r="AJ18" s="125"/>
      <c r="AK18" s="130"/>
      <c r="AL18" s="124"/>
    </row>
    <row r="19" spans="2:38" ht="20" customHeight="1" thickBot="1">
      <c r="B19" s="44">
        <v>100000000</v>
      </c>
      <c r="C19" s="45"/>
      <c r="D19" s="46">
        <v>11.11</v>
      </c>
      <c r="E19" s="47">
        <v>9.26</v>
      </c>
      <c r="F19" s="47">
        <v>7.41</v>
      </c>
      <c r="G19" s="47">
        <v>10.1</v>
      </c>
      <c r="H19" s="47">
        <v>8.42</v>
      </c>
      <c r="I19" s="47">
        <v>6.74</v>
      </c>
      <c r="J19" s="47">
        <v>9.09</v>
      </c>
      <c r="K19" s="47">
        <v>7.58</v>
      </c>
      <c r="L19" s="48">
        <v>6.06</v>
      </c>
      <c r="M19" s="252"/>
      <c r="O19" s="240"/>
      <c r="P19" s="183"/>
      <c r="Q19" s="183"/>
      <c r="R19" s="186" t="s">
        <v>57</v>
      </c>
      <c r="S19" s="189" t="s">
        <v>58</v>
      </c>
      <c r="T19" s="49" t="s">
        <v>59</v>
      </c>
      <c r="U19" s="53">
        <v>0</v>
      </c>
      <c r="V19" s="232" ph="1">
        <v>0</v>
      </c>
      <c r="W19" s="51" t="s">
        <v>30</v>
      </c>
      <c r="X19" s="219">
        <f t="shared" si="0"/>
        <v>0</v>
      </c>
      <c r="Y19" s="243"/>
      <c r="Z19" s="211"/>
      <c r="AB19" s="128"/>
      <c r="AC19" s="135"/>
      <c r="AD19" s="136"/>
      <c r="AE19" s="123"/>
      <c r="AF19" s="123">
        <v>2018</v>
      </c>
      <c r="AG19" s="170" t="s">
        <v>193</v>
      </c>
      <c r="AH19" s="171">
        <v>12</v>
      </c>
      <c r="AI19" s="171" t="s">
        <v>194</v>
      </c>
      <c r="AJ19" s="172">
        <v>15</v>
      </c>
      <c r="AK19" s="149" t="s">
        <v>195</v>
      </c>
      <c r="AL19" s="124"/>
    </row>
    <row r="20" spans="2:38" ht="20" customHeight="1" thickBot="1">
      <c r="B20" s="44">
        <v>200000000</v>
      </c>
      <c r="C20" s="45"/>
      <c r="D20" s="46">
        <v>8.8699999999999992</v>
      </c>
      <c r="E20" s="47">
        <v>7.39</v>
      </c>
      <c r="F20" s="47">
        <v>5.91</v>
      </c>
      <c r="G20" s="47">
        <v>8.06</v>
      </c>
      <c r="H20" s="47">
        <v>6.72</v>
      </c>
      <c r="I20" s="47">
        <v>5.38</v>
      </c>
      <c r="J20" s="47">
        <v>7.26</v>
      </c>
      <c r="K20" s="47">
        <v>6.05</v>
      </c>
      <c r="L20" s="48">
        <v>4.84</v>
      </c>
      <c r="M20" s="252"/>
      <c r="O20" s="240"/>
      <c r="P20" s="183"/>
      <c r="Q20" s="183"/>
      <c r="R20" s="188" t="s">
        <v>60</v>
      </c>
      <c r="S20" s="189" t="s">
        <v>61</v>
      </c>
      <c r="T20" s="49" t="s">
        <v>59</v>
      </c>
      <c r="U20" s="53">
        <v>0</v>
      </c>
      <c r="V20" s="232" ph="1">
        <v>0</v>
      </c>
      <c r="W20" s="51" t="s">
        <v>30</v>
      </c>
      <c r="X20" s="219">
        <f t="shared" si="0"/>
        <v>0</v>
      </c>
      <c r="Y20" s="243"/>
      <c r="Z20" s="211"/>
      <c r="AB20" s="128"/>
      <c r="AC20" s="135"/>
      <c r="AD20" s="137"/>
      <c r="AE20" s="123"/>
      <c r="AF20" s="123"/>
      <c r="AG20" s="132"/>
      <c r="AH20" s="133"/>
      <c r="AI20" s="134"/>
      <c r="AJ20" s="125"/>
      <c r="AK20" s="130"/>
      <c r="AL20" s="124"/>
    </row>
    <row r="21" spans="2:38" ht="20" customHeight="1" thickBot="1">
      <c r="B21" s="44">
        <v>300000000</v>
      </c>
      <c r="C21" s="45"/>
      <c r="D21" s="46">
        <v>8.09</v>
      </c>
      <c r="E21" s="47">
        <v>6.74</v>
      </c>
      <c r="F21" s="47">
        <v>5.39</v>
      </c>
      <c r="G21" s="47">
        <v>7.36</v>
      </c>
      <c r="H21" s="47">
        <v>6.13</v>
      </c>
      <c r="I21" s="47">
        <v>4.9000000000000004</v>
      </c>
      <c r="J21" s="47">
        <v>6.62</v>
      </c>
      <c r="K21" s="47">
        <v>5.52</v>
      </c>
      <c r="L21" s="48">
        <v>4.41</v>
      </c>
      <c r="M21" s="252"/>
      <c r="O21" s="240"/>
      <c r="P21" s="183"/>
      <c r="Q21" s="183"/>
      <c r="R21" s="186" t="s">
        <v>62</v>
      </c>
      <c r="S21" s="189" t="s">
        <v>63</v>
      </c>
      <c r="T21" s="49" t="s">
        <v>59</v>
      </c>
      <c r="U21" s="53">
        <v>0</v>
      </c>
      <c r="V21" s="232" ph="1">
        <v>0</v>
      </c>
      <c r="W21" s="51" t="s">
        <v>30</v>
      </c>
      <c r="X21" s="219">
        <f t="shared" si="0"/>
        <v>0</v>
      </c>
      <c r="Y21" s="243"/>
      <c r="Z21" s="211"/>
      <c r="AB21" s="128"/>
      <c r="AC21" s="135"/>
      <c r="AD21" s="136"/>
      <c r="AE21" s="121"/>
      <c r="AF21" s="121"/>
      <c r="AG21" s="132"/>
      <c r="AH21" s="152"/>
      <c r="AI21" s="152"/>
      <c r="AJ21" s="153"/>
      <c r="AK21" s="153"/>
      <c r="AL21" s="124"/>
    </row>
    <row r="22" spans="2:38" ht="20" customHeight="1" thickBot="1">
      <c r="B22" s="44">
        <v>500000000</v>
      </c>
      <c r="C22" s="45"/>
      <c r="D22" s="46">
        <v>7.58</v>
      </c>
      <c r="E22" s="47">
        <v>6.31</v>
      </c>
      <c r="F22" s="47">
        <v>5.05</v>
      </c>
      <c r="G22" s="47">
        <v>6.89</v>
      </c>
      <c r="H22" s="47">
        <v>5.74</v>
      </c>
      <c r="I22" s="47">
        <v>4.59</v>
      </c>
      <c r="J22" s="47">
        <v>6.2</v>
      </c>
      <c r="K22" s="47">
        <v>5.17</v>
      </c>
      <c r="L22" s="48">
        <v>4.13</v>
      </c>
      <c r="M22" s="252"/>
      <c r="O22" s="240"/>
      <c r="P22" s="183"/>
      <c r="Q22" s="183"/>
      <c r="R22" s="188" t="s">
        <v>64</v>
      </c>
      <c r="S22" s="189" t="s">
        <v>65</v>
      </c>
      <c r="T22" s="49" t="s">
        <v>59</v>
      </c>
      <c r="U22" s="53">
        <v>0</v>
      </c>
      <c r="V22" s="232" ph="1">
        <v>0</v>
      </c>
      <c r="W22" s="51" t="s">
        <v>30</v>
      </c>
      <c r="X22" s="219">
        <f t="shared" si="0"/>
        <v>0</v>
      </c>
      <c r="Y22" s="243"/>
      <c r="Z22" s="211"/>
      <c r="AB22" s="128"/>
      <c r="AC22" s="135"/>
      <c r="AD22" s="137"/>
      <c r="AE22" s="341" t="s">
        <v>182</v>
      </c>
      <c r="AF22" s="341"/>
      <c r="AG22" s="341"/>
      <c r="AH22" s="341"/>
      <c r="AI22" s="341"/>
      <c r="AJ22" s="341"/>
      <c r="AK22" s="341"/>
      <c r="AL22" s="124"/>
    </row>
    <row r="23" spans="2:38" ht="20" customHeight="1" thickBot="1">
      <c r="B23" s="44">
        <v>1000000000</v>
      </c>
      <c r="C23" s="45"/>
      <c r="D23" s="46">
        <v>6.48</v>
      </c>
      <c r="E23" s="47">
        <v>5.4</v>
      </c>
      <c r="F23" s="47">
        <v>4.32</v>
      </c>
      <c r="G23" s="47">
        <v>5.89</v>
      </c>
      <c r="H23" s="47">
        <v>4.91</v>
      </c>
      <c r="I23" s="47">
        <v>3.93</v>
      </c>
      <c r="J23" s="47">
        <v>5.3</v>
      </c>
      <c r="K23" s="47">
        <v>4.42</v>
      </c>
      <c r="L23" s="48">
        <v>3.54</v>
      </c>
      <c r="M23" s="252"/>
      <c r="O23" s="240"/>
      <c r="P23" s="183"/>
      <c r="Q23" s="183"/>
      <c r="R23" s="186" t="s">
        <v>66</v>
      </c>
      <c r="S23" s="189" t="s">
        <v>67</v>
      </c>
      <c r="T23" s="49" t="s">
        <v>59</v>
      </c>
      <c r="U23" s="53">
        <v>0</v>
      </c>
      <c r="V23" s="232" ph="1">
        <v>0</v>
      </c>
      <c r="W23" s="51" t="s">
        <v>30</v>
      </c>
      <c r="X23" s="219">
        <f t="shared" si="0"/>
        <v>0</v>
      </c>
      <c r="Y23" s="243"/>
      <c r="Z23" s="211"/>
      <c r="AB23" s="128"/>
      <c r="AC23" s="135"/>
      <c r="AD23" s="136"/>
      <c r="AE23" s="340" t="s">
        <v>196</v>
      </c>
      <c r="AF23" s="340"/>
      <c r="AG23" s="340"/>
      <c r="AH23" s="340"/>
      <c r="AI23" s="340"/>
      <c r="AJ23" s="340"/>
      <c r="AK23" s="340"/>
      <c r="AL23" s="154"/>
    </row>
    <row r="24" spans="2:38" ht="20" customHeight="1" thickBot="1">
      <c r="B24" s="44">
        <v>2000000000</v>
      </c>
      <c r="C24" s="45"/>
      <c r="D24" s="46">
        <v>5.97</v>
      </c>
      <c r="E24" s="47">
        <v>4.97</v>
      </c>
      <c r="F24" s="47">
        <v>3.98</v>
      </c>
      <c r="G24" s="47">
        <v>5.42</v>
      </c>
      <c r="H24" s="47">
        <v>4.5199999999999996</v>
      </c>
      <c r="I24" s="47">
        <v>3.62</v>
      </c>
      <c r="J24" s="47">
        <v>4.88</v>
      </c>
      <c r="K24" s="47">
        <v>4.07</v>
      </c>
      <c r="L24" s="48">
        <v>3.25</v>
      </c>
      <c r="M24" s="252"/>
      <c r="O24" s="240"/>
      <c r="P24" s="183"/>
      <c r="Q24" s="183"/>
      <c r="R24" s="188" t="s">
        <v>68</v>
      </c>
      <c r="S24" s="189" t="s">
        <v>69</v>
      </c>
      <c r="T24" s="49" t="s">
        <v>59</v>
      </c>
      <c r="U24" s="53">
        <v>0</v>
      </c>
      <c r="V24" s="232" ph="1">
        <v>0</v>
      </c>
      <c r="W24" s="51" t="s">
        <v>30</v>
      </c>
      <c r="X24" s="219">
        <f t="shared" si="0"/>
        <v>0</v>
      </c>
      <c r="Y24" s="243"/>
      <c r="Z24" s="211"/>
      <c r="AB24" s="128"/>
      <c r="AC24" s="135"/>
      <c r="AD24" s="137"/>
      <c r="AE24" s="121"/>
      <c r="AF24" s="121"/>
      <c r="AG24" s="375" t="s">
        <v>183</v>
      </c>
      <c r="AH24" s="375"/>
      <c r="AI24" s="375"/>
      <c r="AJ24" s="375"/>
      <c r="AK24" s="375"/>
      <c r="AL24" s="124"/>
    </row>
    <row r="25" spans="2:38" ht="20" customHeight="1" thickBot="1">
      <c r="B25" s="44">
        <v>3000000000</v>
      </c>
      <c r="C25" s="45"/>
      <c r="D25" s="46">
        <v>5.76</v>
      </c>
      <c r="E25" s="47">
        <v>4.8</v>
      </c>
      <c r="F25" s="47">
        <v>3.84</v>
      </c>
      <c r="G25" s="47">
        <v>5.23</v>
      </c>
      <c r="H25" s="47">
        <v>4.3600000000000003</v>
      </c>
      <c r="I25" s="47">
        <v>3.49</v>
      </c>
      <c r="J25" s="47">
        <v>4.71</v>
      </c>
      <c r="K25" s="47">
        <v>3.92</v>
      </c>
      <c r="L25" s="48">
        <v>3.14</v>
      </c>
      <c r="M25" s="252"/>
      <c r="O25" s="240"/>
      <c r="P25" s="183"/>
      <c r="Q25" s="183"/>
      <c r="R25" s="188" t="s">
        <v>70</v>
      </c>
      <c r="S25" s="189" t="s">
        <v>71</v>
      </c>
      <c r="T25" s="49" t="s">
        <v>59</v>
      </c>
      <c r="U25" s="53">
        <v>0</v>
      </c>
      <c r="V25" s="232" ph="1">
        <v>0</v>
      </c>
      <c r="W25" s="51" t="s">
        <v>30</v>
      </c>
      <c r="X25" s="219">
        <f t="shared" si="0"/>
        <v>0</v>
      </c>
      <c r="Y25" s="243"/>
      <c r="Z25" s="211"/>
      <c r="AB25" s="128"/>
      <c r="AC25" s="135"/>
      <c r="AD25" s="136"/>
      <c r="AE25" s="121"/>
      <c r="AF25" s="152"/>
      <c r="AG25" s="152"/>
      <c r="AH25" s="152"/>
      <c r="AI25" s="134"/>
      <c r="AJ25" s="123"/>
      <c r="AK25" s="123"/>
      <c r="AL25" s="124"/>
    </row>
    <row r="26" spans="2:38" ht="20" customHeight="1" thickBot="1">
      <c r="B26" s="44">
        <v>5000000000</v>
      </c>
      <c r="C26" s="45"/>
      <c r="D26" s="46">
        <v>5.65</v>
      </c>
      <c r="E26" s="47">
        <v>4.71</v>
      </c>
      <c r="F26" s="47">
        <v>3.77</v>
      </c>
      <c r="G26" s="47">
        <v>5.14</v>
      </c>
      <c r="H26" s="47">
        <v>4.28</v>
      </c>
      <c r="I26" s="47">
        <v>3.42</v>
      </c>
      <c r="J26" s="47">
        <v>4.62</v>
      </c>
      <c r="K26" s="47">
        <v>3.85</v>
      </c>
      <c r="L26" s="48">
        <v>3.08</v>
      </c>
      <c r="M26" s="252"/>
      <c r="O26" s="240"/>
      <c r="P26" s="183"/>
      <c r="Q26" s="183"/>
      <c r="R26" s="186" t="s">
        <v>72</v>
      </c>
      <c r="S26" s="189" t="s">
        <v>73</v>
      </c>
      <c r="T26" s="49" t="s">
        <v>59</v>
      </c>
      <c r="U26" s="53">
        <v>0</v>
      </c>
      <c r="V26" s="232" ph="1">
        <v>0</v>
      </c>
      <c r="W26" s="51" t="s">
        <v>30</v>
      </c>
      <c r="X26" s="219">
        <f t="shared" si="0"/>
        <v>0</v>
      </c>
      <c r="Y26" s="243"/>
      <c r="Z26" s="211"/>
      <c r="AB26" s="128"/>
      <c r="AC26" s="135"/>
      <c r="AD26" s="135"/>
      <c r="AE26" s="135"/>
      <c r="AF26" s="135"/>
      <c r="AG26" s="135"/>
      <c r="AH26" s="133"/>
      <c r="AI26" s="134"/>
      <c r="AJ26" s="125"/>
      <c r="AK26" s="130"/>
      <c r="AL26" s="124"/>
    </row>
    <row r="27" spans="2:38" ht="17" customHeight="1" thickBot="1">
      <c r="B27" s="44">
        <v>10000000000</v>
      </c>
      <c r="C27" s="45"/>
      <c r="D27" s="46">
        <v>5.5</v>
      </c>
      <c r="E27" s="47">
        <v>4.59</v>
      </c>
      <c r="F27" s="47">
        <v>3.67</v>
      </c>
      <c r="G27" s="47">
        <v>5</v>
      </c>
      <c r="H27" s="47">
        <v>4.17</v>
      </c>
      <c r="I27" s="47">
        <v>3.34</v>
      </c>
      <c r="J27" s="47">
        <v>4.5</v>
      </c>
      <c r="K27" s="47">
        <v>3.75</v>
      </c>
      <c r="L27" s="48">
        <v>3</v>
      </c>
      <c r="M27" s="252"/>
      <c r="O27" s="240"/>
      <c r="P27" s="183"/>
      <c r="Q27" s="183"/>
      <c r="R27" s="188" t="s">
        <v>74</v>
      </c>
      <c r="S27" s="189" t="s">
        <v>75</v>
      </c>
      <c r="T27" s="49" t="s">
        <v>59</v>
      </c>
      <c r="U27" s="53">
        <v>0</v>
      </c>
      <c r="V27" s="232" ph="1">
        <v>0</v>
      </c>
      <c r="W27" s="51" t="s">
        <v>30</v>
      </c>
      <c r="X27" s="219">
        <f t="shared" si="0"/>
        <v>0</v>
      </c>
      <c r="Y27" s="243"/>
      <c r="Z27" s="211"/>
      <c r="AB27" s="128"/>
      <c r="AC27" s="376" t="s">
        <v>184</v>
      </c>
      <c r="AD27" s="376"/>
      <c r="AE27" s="376"/>
      <c r="AF27" s="166"/>
      <c r="AG27" s="166"/>
      <c r="AH27" s="133"/>
      <c r="AI27" s="134"/>
      <c r="AJ27" s="125"/>
      <c r="AK27" s="130"/>
      <c r="AL27" s="124"/>
    </row>
    <row r="28" spans="2:38" ht="17" customHeight="1" thickBot="1">
      <c r="B28" s="44">
        <v>20000000000</v>
      </c>
      <c r="C28" s="45"/>
      <c r="D28" s="46">
        <v>5.33</v>
      </c>
      <c r="E28" s="47">
        <v>4.4400000000000004</v>
      </c>
      <c r="F28" s="47">
        <v>3.56</v>
      </c>
      <c r="G28" s="47">
        <v>4.8499999999999996</v>
      </c>
      <c r="H28" s="47">
        <v>4.04</v>
      </c>
      <c r="I28" s="47">
        <v>3.23</v>
      </c>
      <c r="J28" s="47">
        <v>4.3600000000000003</v>
      </c>
      <c r="K28" s="47">
        <v>3.64</v>
      </c>
      <c r="L28" s="48">
        <v>2.91</v>
      </c>
      <c r="M28" s="252"/>
      <c r="O28" s="240"/>
      <c r="P28" s="183"/>
      <c r="Q28" s="183"/>
      <c r="R28" s="186" t="s">
        <v>76</v>
      </c>
      <c r="S28" s="189" t="s">
        <v>77</v>
      </c>
      <c r="T28" s="49" t="s">
        <v>59</v>
      </c>
      <c r="U28" s="53">
        <v>0</v>
      </c>
      <c r="V28" s="232" ph="1">
        <v>0</v>
      </c>
      <c r="W28" s="51" t="s">
        <v>30</v>
      </c>
      <c r="X28" s="219">
        <f t="shared" si="0"/>
        <v>0</v>
      </c>
      <c r="Y28" s="243"/>
      <c r="Z28" s="211"/>
      <c r="AB28" s="139"/>
      <c r="AC28" s="140"/>
      <c r="AD28" s="141"/>
      <c r="AE28" s="162"/>
      <c r="AF28" s="142"/>
      <c r="AG28" s="143"/>
      <c r="AH28" s="144"/>
      <c r="AI28" s="145"/>
      <c r="AJ28" s="146"/>
      <c r="AK28" s="147"/>
      <c r="AL28" s="148"/>
    </row>
    <row r="29" spans="2:38" ht="17" customHeight="1" thickBot="1">
      <c r="B29" s="44">
        <v>30000000000</v>
      </c>
      <c r="C29" s="45"/>
      <c r="D29" s="46">
        <v>5.29</v>
      </c>
      <c r="E29" s="47">
        <v>4.41</v>
      </c>
      <c r="F29" s="47">
        <v>3.53</v>
      </c>
      <c r="G29" s="47">
        <v>4.8099999999999996</v>
      </c>
      <c r="H29" s="47">
        <v>4.01</v>
      </c>
      <c r="I29" s="47">
        <v>3.21</v>
      </c>
      <c r="J29" s="47">
        <v>4.33</v>
      </c>
      <c r="K29" s="47">
        <v>3.61</v>
      </c>
      <c r="L29" s="48">
        <v>2.89</v>
      </c>
      <c r="M29" s="252"/>
      <c r="O29" s="240"/>
      <c r="P29" s="183"/>
      <c r="Q29" s="183"/>
      <c r="R29" s="188" t="s">
        <v>78</v>
      </c>
      <c r="S29" s="189" t="s">
        <v>79</v>
      </c>
      <c r="T29" s="49" t="s">
        <v>59</v>
      </c>
      <c r="U29" s="53">
        <v>0</v>
      </c>
      <c r="V29" s="232" ph="1">
        <v>0</v>
      </c>
      <c r="W29" s="51" t="s">
        <v>30</v>
      </c>
      <c r="X29" s="219">
        <f t="shared" si="0"/>
        <v>0</v>
      </c>
      <c r="Y29" s="243"/>
      <c r="Z29" s="211"/>
    </row>
    <row r="30" spans="2:38" ht="17" customHeight="1" thickBot="1">
      <c r="B30" s="44">
        <v>50000000000</v>
      </c>
      <c r="C30" s="45"/>
      <c r="D30" s="46">
        <v>5.19</v>
      </c>
      <c r="E30" s="47">
        <v>4.32</v>
      </c>
      <c r="F30" s="47">
        <v>3.46</v>
      </c>
      <c r="G30" s="47">
        <v>4.72</v>
      </c>
      <c r="H30" s="47">
        <v>3.93</v>
      </c>
      <c r="I30" s="47">
        <v>3.14</v>
      </c>
      <c r="J30" s="47">
        <v>4.24</v>
      </c>
      <c r="K30" s="47">
        <v>3.54</v>
      </c>
      <c r="L30" s="48">
        <v>2.83</v>
      </c>
      <c r="M30" s="252"/>
      <c r="O30" s="240"/>
      <c r="P30" s="183"/>
      <c r="Q30" s="183"/>
      <c r="R30" s="186" t="s">
        <v>80</v>
      </c>
      <c r="S30" s="189" t="s">
        <v>81</v>
      </c>
      <c r="T30" s="49" t="s">
        <v>59</v>
      </c>
      <c r="U30" s="53">
        <v>0</v>
      </c>
      <c r="V30" s="232" ph="1">
        <v>0</v>
      </c>
      <c r="W30" s="51" t="s">
        <v>30</v>
      </c>
      <c r="X30" s="219">
        <f t="shared" si="0"/>
        <v>0</v>
      </c>
      <c r="Y30" s="243"/>
      <c r="Z30" s="211"/>
    </row>
    <row r="31" spans="2:38" ht="17" customHeight="1" thickBot="1">
      <c r="B31" s="44">
        <v>100000000000</v>
      </c>
      <c r="C31" s="45"/>
      <c r="D31" s="46">
        <v>5.0999999999999996</v>
      </c>
      <c r="E31" s="47">
        <v>4.25</v>
      </c>
      <c r="F31" s="47">
        <v>3.4</v>
      </c>
      <c r="G31" s="47">
        <v>4.63</v>
      </c>
      <c r="H31" s="47">
        <v>3.86</v>
      </c>
      <c r="I31" s="47">
        <v>3.09</v>
      </c>
      <c r="J31" s="47">
        <v>4.17</v>
      </c>
      <c r="K31" s="47">
        <v>3.47</v>
      </c>
      <c r="L31" s="48">
        <v>2.78</v>
      </c>
      <c r="M31" s="252"/>
      <c r="O31" s="240"/>
      <c r="P31" s="183"/>
      <c r="Q31" s="183"/>
      <c r="R31" s="188" t="s">
        <v>82</v>
      </c>
      <c r="S31" s="189" t="s">
        <v>83</v>
      </c>
      <c r="T31" s="49" t="s">
        <v>59</v>
      </c>
      <c r="U31" s="53">
        <v>0</v>
      </c>
      <c r="V31" s="232" ph="1">
        <v>0</v>
      </c>
      <c r="W31" s="51" t="s">
        <v>30</v>
      </c>
      <c r="X31" s="219">
        <f t="shared" si="0"/>
        <v>0</v>
      </c>
      <c r="Y31" s="243"/>
      <c r="Z31" s="211"/>
    </row>
    <row r="32" spans="2:38" ht="17" customHeight="1" thickBot="1">
      <c r="B32" s="44">
        <v>200000000000</v>
      </c>
      <c r="C32" s="45"/>
      <c r="D32" s="46">
        <v>5.03</v>
      </c>
      <c r="E32" s="47">
        <v>4.1900000000000004</v>
      </c>
      <c r="F32" s="47">
        <v>3.35</v>
      </c>
      <c r="G32" s="47">
        <v>4.57</v>
      </c>
      <c r="H32" s="47">
        <v>3.81</v>
      </c>
      <c r="I32" s="47">
        <v>3.05</v>
      </c>
      <c r="J32" s="47">
        <v>4.1100000000000003</v>
      </c>
      <c r="K32" s="47">
        <v>3.43</v>
      </c>
      <c r="L32" s="48">
        <v>2.74</v>
      </c>
      <c r="M32" s="252"/>
      <c r="O32" s="240"/>
      <c r="P32" s="183"/>
      <c r="Q32" s="183"/>
      <c r="R32" s="188" t="s">
        <v>84</v>
      </c>
      <c r="S32" s="189" t="s">
        <v>85</v>
      </c>
      <c r="T32" s="49" t="s">
        <v>59</v>
      </c>
      <c r="U32" s="53">
        <v>0</v>
      </c>
      <c r="V32" s="232" ph="1">
        <v>0</v>
      </c>
      <c r="W32" s="51" t="s">
        <v>30</v>
      </c>
      <c r="X32" s="219">
        <f t="shared" si="0"/>
        <v>0</v>
      </c>
      <c r="Y32" s="243"/>
      <c r="Z32" s="211"/>
    </row>
    <row r="33" spans="2:26" ht="17" customHeight="1" thickBot="1">
      <c r="B33" s="44">
        <v>300000000000</v>
      </c>
      <c r="C33" s="45"/>
      <c r="D33" s="46">
        <v>4.95</v>
      </c>
      <c r="E33" s="47">
        <v>4.13</v>
      </c>
      <c r="F33" s="47">
        <v>3.3</v>
      </c>
      <c r="G33" s="47">
        <v>4.5</v>
      </c>
      <c r="H33" s="47">
        <v>3.75</v>
      </c>
      <c r="I33" s="47">
        <v>3</v>
      </c>
      <c r="J33" s="47">
        <v>4.05</v>
      </c>
      <c r="K33" s="47">
        <v>3.38</v>
      </c>
      <c r="L33" s="48">
        <v>2.7</v>
      </c>
      <c r="M33" s="252"/>
      <c r="O33" s="240"/>
      <c r="P33" s="183"/>
      <c r="Q33" s="183"/>
      <c r="R33" s="186" t="s">
        <v>86</v>
      </c>
      <c r="S33" s="189" t="s">
        <v>87</v>
      </c>
      <c r="T33" s="49" t="s">
        <v>59</v>
      </c>
      <c r="U33" s="53">
        <v>0</v>
      </c>
      <c r="V33" s="232" ph="1">
        <v>0</v>
      </c>
      <c r="W33" s="51" t="s">
        <v>30</v>
      </c>
      <c r="X33" s="219">
        <f t="shared" si="0"/>
        <v>0</v>
      </c>
      <c r="Y33" s="243"/>
      <c r="Z33" s="211"/>
    </row>
    <row r="34" spans="2:26" ht="17" customHeight="1" thickBot="1">
      <c r="B34" s="54">
        <v>500000000000</v>
      </c>
      <c r="C34" s="55"/>
      <c r="D34" s="56">
        <v>4.88</v>
      </c>
      <c r="E34" s="57">
        <v>4.07</v>
      </c>
      <c r="F34" s="57">
        <v>3.26</v>
      </c>
      <c r="G34" s="57">
        <v>4.4400000000000004</v>
      </c>
      <c r="H34" s="57">
        <v>3.7</v>
      </c>
      <c r="I34" s="57">
        <v>2.96</v>
      </c>
      <c r="J34" s="57">
        <v>4</v>
      </c>
      <c r="K34" s="57">
        <v>3.33</v>
      </c>
      <c r="L34" s="58">
        <v>2.66</v>
      </c>
      <c r="M34" s="252"/>
      <c r="O34" s="240"/>
      <c r="P34" s="183"/>
      <c r="Q34" s="183"/>
      <c r="R34" s="188" t="s">
        <v>88</v>
      </c>
      <c r="S34" s="189" t="s">
        <v>89</v>
      </c>
      <c r="T34" s="49" t="s">
        <v>59</v>
      </c>
      <c r="U34" s="53">
        <v>0</v>
      </c>
      <c r="V34" s="232" ph="1">
        <v>0</v>
      </c>
      <c r="W34" s="51" t="s">
        <v>30</v>
      </c>
      <c r="X34" s="219">
        <f t="shared" si="0"/>
        <v>0</v>
      </c>
      <c r="Y34" s="243"/>
      <c r="Z34" s="211"/>
    </row>
    <row r="35" spans="2:26" ht="17.5" customHeight="1" thickBot="1">
      <c r="M35" s="9"/>
      <c r="O35" s="240"/>
      <c r="P35" s="183"/>
      <c r="Q35" s="183"/>
      <c r="R35" s="186" t="s">
        <v>90</v>
      </c>
      <c r="S35" s="189" t="s">
        <v>91</v>
      </c>
      <c r="T35" s="49" t="s">
        <v>92</v>
      </c>
      <c r="U35" s="53">
        <v>0</v>
      </c>
      <c r="V35" s="232" ph="1">
        <v>0</v>
      </c>
      <c r="W35" s="51" t="s">
        <v>30</v>
      </c>
      <c r="X35" s="219">
        <f t="shared" si="0"/>
        <v>0</v>
      </c>
      <c r="Y35" s="243"/>
      <c r="Z35" s="19"/>
    </row>
    <row r="36" spans="2:26" ht="17.5" customHeight="1" thickBot="1">
      <c r="M36" s="9"/>
      <c r="O36" s="240"/>
      <c r="P36" s="183"/>
      <c r="Q36" s="183"/>
      <c r="R36" s="188" t="s">
        <v>93</v>
      </c>
      <c r="S36" s="189" t="s">
        <v>94</v>
      </c>
      <c r="T36" s="61" t="s">
        <v>59</v>
      </c>
      <c r="U36" s="50">
        <v>0</v>
      </c>
      <c r="V36" s="232" ph="1">
        <v>0</v>
      </c>
      <c r="W36" s="51" t="s">
        <v>30</v>
      </c>
      <c r="X36" s="219">
        <f t="shared" si="0"/>
        <v>0</v>
      </c>
      <c r="Y36" s="243"/>
      <c r="Z36" s="19"/>
    </row>
    <row r="37" spans="2:26" ht="17" customHeight="1" thickBot="1">
      <c r="B37" s="279" t="s">
        <v>214</v>
      </c>
      <c r="C37" s="279"/>
      <c r="D37" s="279"/>
      <c r="E37" s="279"/>
      <c r="M37" s="8"/>
      <c r="O37" s="240"/>
      <c r="P37" s="183"/>
      <c r="Q37" s="183"/>
      <c r="R37" s="186" t="s">
        <v>95</v>
      </c>
      <c r="S37" s="189" t="s">
        <v>96</v>
      </c>
      <c r="T37" s="61" t="s">
        <v>97</v>
      </c>
      <c r="U37" s="62">
        <f>C45/8</f>
        <v>45411.125</v>
      </c>
      <c r="V37" s="232" ph="1">
        <v>0</v>
      </c>
      <c r="W37" s="51" t="s">
        <v>98</v>
      </c>
      <c r="X37" s="219">
        <f t="shared" si="0"/>
        <v>0</v>
      </c>
      <c r="Y37" s="243"/>
      <c r="Z37" s="18"/>
    </row>
    <row r="38" spans="2:26" ht="17" customHeight="1">
      <c r="B38" s="279"/>
      <c r="C38" s="279"/>
      <c r="D38" s="279"/>
      <c r="E38" s="279"/>
      <c r="F38" s="60"/>
      <c r="M38" s="8"/>
      <c r="O38" s="240"/>
      <c r="P38" s="183"/>
      <c r="Q38" s="183"/>
      <c r="R38" s="186"/>
      <c r="S38" s="189"/>
      <c r="T38" s="61"/>
      <c r="U38" s="62"/>
      <c r="V38" s="264" ph="1"/>
      <c r="W38" s="51"/>
      <c r="X38" s="219"/>
      <c r="Y38" s="243"/>
      <c r="Z38" s="19"/>
    </row>
    <row r="39" spans="2:26" ht="17" customHeight="1">
      <c r="B39" s="269"/>
      <c r="C39" s="269"/>
      <c r="D39" s="269"/>
      <c r="E39" s="269"/>
      <c r="F39" s="60"/>
      <c r="O39" s="240"/>
      <c r="P39" s="183"/>
      <c r="Q39" s="183"/>
      <c r="R39" s="188" t="s">
        <v>99</v>
      </c>
      <c r="S39" s="189" t="s">
        <v>100</v>
      </c>
      <c r="T39" s="61" t="s">
        <v>101</v>
      </c>
      <c r="U39" s="50">
        <v>0</v>
      </c>
      <c r="V39" s="63">
        <v>0</v>
      </c>
      <c r="W39" s="51" t="s">
        <v>102</v>
      </c>
      <c r="X39" s="219">
        <f t="shared" ref="X39:X49" si="1">U39*V39</f>
        <v>0</v>
      </c>
      <c r="Y39" s="243"/>
      <c r="Z39" s="19"/>
    </row>
    <row r="40" spans="2:26" ht="17" customHeight="1" thickBot="1">
      <c r="B40" s="12"/>
      <c r="C40" s="2"/>
      <c r="D40" s="2"/>
      <c r="E40" s="2"/>
      <c r="F40" s="2"/>
      <c r="O40" s="240"/>
      <c r="P40" s="183"/>
      <c r="Q40" s="183"/>
      <c r="R40" s="188" t="s">
        <v>106</v>
      </c>
      <c r="S40" s="189" t="s">
        <v>107</v>
      </c>
      <c r="T40" s="61" t="s">
        <v>108</v>
      </c>
      <c r="U40" s="50">
        <v>0</v>
      </c>
      <c r="V40" s="63">
        <v>0</v>
      </c>
      <c r="W40" s="51" t="s">
        <v>109</v>
      </c>
      <c r="X40" s="219">
        <f t="shared" si="1"/>
        <v>0</v>
      </c>
      <c r="Y40" s="243"/>
      <c r="Z40" s="19"/>
    </row>
    <row r="41" spans="2:26" ht="17" customHeight="1">
      <c r="B41" s="303" t="s">
        <v>210</v>
      </c>
      <c r="C41" s="304"/>
      <c r="D41" s="299">
        <f>I53</f>
        <v>35047577</v>
      </c>
      <c r="E41" s="299"/>
      <c r="F41" s="299"/>
      <c r="G41" s="300"/>
      <c r="O41" s="240"/>
      <c r="P41" s="183"/>
      <c r="Q41" s="183"/>
      <c r="R41" s="186" t="s">
        <v>111</v>
      </c>
      <c r="S41" s="189" t="s">
        <v>112</v>
      </c>
      <c r="T41" s="61" t="s">
        <v>113</v>
      </c>
      <c r="U41" s="50">
        <v>0</v>
      </c>
      <c r="V41" s="63">
        <v>0</v>
      </c>
      <c r="W41" s="51" t="s">
        <v>30</v>
      </c>
      <c r="X41" s="219">
        <f t="shared" si="1"/>
        <v>0</v>
      </c>
      <c r="Y41" s="243"/>
      <c r="Z41" s="19"/>
    </row>
    <row r="42" spans="2:26" ht="17.5" thickBot="1">
      <c r="B42" s="305"/>
      <c r="C42" s="306"/>
      <c r="D42" s="301"/>
      <c r="E42" s="301"/>
      <c r="F42" s="301"/>
      <c r="G42" s="302"/>
      <c r="O42" s="240"/>
      <c r="P42" s="183"/>
      <c r="Q42" s="183"/>
      <c r="R42" s="188" t="s">
        <v>115</v>
      </c>
      <c r="S42" s="189" t="s">
        <v>116</v>
      </c>
      <c r="T42" s="61" t="s">
        <v>113</v>
      </c>
      <c r="U42" s="50">
        <v>0</v>
      </c>
      <c r="V42" s="63">
        <v>0</v>
      </c>
      <c r="W42" s="51" t="s">
        <v>30</v>
      </c>
      <c r="X42" s="219">
        <f t="shared" si="1"/>
        <v>0</v>
      </c>
      <c r="Y42" s="243"/>
      <c r="Z42" s="19"/>
    </row>
    <row r="43" spans="2:26" ht="17" customHeight="1" thickBot="1">
      <c r="B43" s="2"/>
      <c r="C43" s="2"/>
      <c r="D43" s="2"/>
      <c r="E43" s="2"/>
      <c r="F43" s="312" t="s">
        <v>226</v>
      </c>
      <c r="G43" s="312"/>
      <c r="H43" s="312"/>
      <c r="I43" s="312"/>
      <c r="J43" s="312"/>
      <c r="K43" s="312"/>
      <c r="L43" s="312"/>
      <c r="O43" s="240"/>
      <c r="P43" s="183"/>
      <c r="Q43" s="183"/>
      <c r="R43" s="186" t="s">
        <v>118</v>
      </c>
      <c r="S43" s="189" t="s">
        <v>119</v>
      </c>
      <c r="T43" s="61" t="s">
        <v>113</v>
      </c>
      <c r="U43" s="50">
        <v>0</v>
      </c>
      <c r="V43" s="63">
        <v>0</v>
      </c>
      <c r="W43" s="51" t="s">
        <v>30</v>
      </c>
      <c r="X43" s="219">
        <f t="shared" si="1"/>
        <v>0</v>
      </c>
      <c r="Y43" s="243"/>
      <c r="Z43" s="19"/>
    </row>
    <row r="44" spans="2:26" ht="17" customHeight="1" thickBot="1">
      <c r="B44" s="35" t="s">
        <v>3</v>
      </c>
      <c r="C44" s="294" t="s">
        <v>103</v>
      </c>
      <c r="D44" s="295"/>
      <c r="E44" s="296"/>
      <c r="F44" s="64" t="s">
        <v>198</v>
      </c>
      <c r="G44" s="294" t="s">
        <v>199</v>
      </c>
      <c r="H44" s="296"/>
      <c r="I44" s="359" t="s">
        <v>201</v>
      </c>
      <c r="J44" s="295"/>
      <c r="K44" s="296"/>
      <c r="L44" s="64" t="s">
        <v>200</v>
      </c>
      <c r="O44" s="240"/>
      <c r="P44" s="183"/>
      <c r="Q44" s="183"/>
      <c r="R44" s="188" t="s">
        <v>121</v>
      </c>
      <c r="S44" s="189" t="s">
        <v>122</v>
      </c>
      <c r="T44" s="61" t="s">
        <v>123</v>
      </c>
      <c r="U44" s="50">
        <v>0</v>
      </c>
      <c r="V44" s="63">
        <v>0</v>
      </c>
      <c r="W44" s="51" t="s">
        <v>124</v>
      </c>
      <c r="X44" s="219">
        <f t="shared" si="1"/>
        <v>0</v>
      </c>
      <c r="Y44" s="243"/>
      <c r="Z44" s="19"/>
    </row>
    <row r="45" spans="2:26" ht="17" customHeight="1">
      <c r="B45" s="255" t="s">
        <v>110</v>
      </c>
      <c r="C45" s="291">
        <v>363289</v>
      </c>
      <c r="D45" s="292"/>
      <c r="E45" s="293"/>
      <c r="F45" s="256">
        <v>1</v>
      </c>
      <c r="G45" s="313">
        <v>1</v>
      </c>
      <c r="H45" s="314"/>
      <c r="I45" s="360">
        <f t="shared" ref="I45:I52" si="2">C45*F45*G45</f>
        <v>363289</v>
      </c>
      <c r="J45" s="361"/>
      <c r="K45" s="362"/>
      <c r="L45" s="257"/>
      <c r="O45" s="240"/>
      <c r="P45" s="183"/>
      <c r="Q45" s="183"/>
      <c r="R45" s="186" t="s">
        <v>126</v>
      </c>
      <c r="S45" s="189" t="s">
        <v>127</v>
      </c>
      <c r="T45" s="61" t="s">
        <v>123</v>
      </c>
      <c r="U45" s="50">
        <v>0</v>
      </c>
      <c r="V45" s="63">
        <v>0</v>
      </c>
      <c r="W45" s="51" t="s">
        <v>124</v>
      </c>
      <c r="X45" s="219">
        <f t="shared" si="1"/>
        <v>0</v>
      </c>
      <c r="Y45" s="244"/>
      <c r="Z45" s="19"/>
    </row>
    <row r="46" spans="2:26" ht="17" customHeight="1">
      <c r="B46" s="258" t="s">
        <v>114</v>
      </c>
      <c r="C46" s="288">
        <v>276720</v>
      </c>
      <c r="D46" s="289"/>
      <c r="E46" s="290"/>
      <c r="F46" s="259">
        <v>2</v>
      </c>
      <c r="G46" s="308">
        <v>2</v>
      </c>
      <c r="H46" s="309"/>
      <c r="I46" s="348">
        <f t="shared" si="2"/>
        <v>1106880</v>
      </c>
      <c r="J46" s="349"/>
      <c r="K46" s="350"/>
      <c r="L46" s="260"/>
      <c r="O46" s="240"/>
      <c r="P46" s="183"/>
      <c r="Q46" s="183"/>
      <c r="R46" s="188" t="s">
        <v>129</v>
      </c>
      <c r="S46" s="189" t="s">
        <v>130</v>
      </c>
      <c r="T46" s="61" t="s">
        <v>123</v>
      </c>
      <c r="U46" s="50">
        <v>0</v>
      </c>
      <c r="V46" s="63">
        <v>0</v>
      </c>
      <c r="W46" s="51" t="s">
        <v>124</v>
      </c>
      <c r="X46" s="219">
        <f t="shared" si="1"/>
        <v>0</v>
      </c>
      <c r="Y46" s="244"/>
      <c r="Z46" s="19"/>
    </row>
    <row r="47" spans="2:26" ht="17.5" customHeight="1">
      <c r="B47" s="258" t="s">
        <v>117</v>
      </c>
      <c r="C47" s="288">
        <v>224307</v>
      </c>
      <c r="D47" s="289"/>
      <c r="E47" s="290"/>
      <c r="F47" s="259">
        <v>3</v>
      </c>
      <c r="G47" s="308">
        <v>3</v>
      </c>
      <c r="H47" s="309"/>
      <c r="I47" s="348">
        <f t="shared" si="2"/>
        <v>2018763</v>
      </c>
      <c r="J47" s="349"/>
      <c r="K47" s="350"/>
      <c r="L47" s="260"/>
      <c r="M47" s="4"/>
      <c r="O47" s="240"/>
      <c r="P47" s="183"/>
      <c r="Q47" s="183"/>
      <c r="R47" s="188" t="s">
        <v>132</v>
      </c>
      <c r="S47" s="189" t="s">
        <v>133</v>
      </c>
      <c r="T47" s="61" t="s">
        <v>123</v>
      </c>
      <c r="U47" s="50">
        <v>0</v>
      </c>
      <c r="V47" s="63">
        <v>0</v>
      </c>
      <c r="W47" s="51" t="s">
        <v>124</v>
      </c>
      <c r="X47" s="219">
        <f t="shared" si="1"/>
        <v>0</v>
      </c>
      <c r="Y47" s="244"/>
      <c r="Z47" s="19"/>
    </row>
    <row r="48" spans="2:26" ht="17.5" customHeight="1">
      <c r="B48" s="258" t="s">
        <v>120</v>
      </c>
      <c r="C48" s="288">
        <v>198567</v>
      </c>
      <c r="D48" s="289"/>
      <c r="E48" s="290"/>
      <c r="F48" s="259">
        <v>4</v>
      </c>
      <c r="G48" s="308">
        <v>4</v>
      </c>
      <c r="H48" s="309"/>
      <c r="I48" s="348">
        <f t="shared" si="2"/>
        <v>3177072</v>
      </c>
      <c r="J48" s="349"/>
      <c r="K48" s="350"/>
      <c r="L48" s="260"/>
      <c r="M48" s="110"/>
      <c r="O48" s="240"/>
      <c r="P48" s="183"/>
      <c r="Q48" s="183"/>
      <c r="R48" s="186" t="s">
        <v>135</v>
      </c>
      <c r="S48" s="189" t="s">
        <v>136</v>
      </c>
      <c r="T48" s="61" t="s">
        <v>123</v>
      </c>
      <c r="U48" s="50">
        <v>0</v>
      </c>
      <c r="V48" s="63">
        <v>0</v>
      </c>
      <c r="W48" s="51" t="s">
        <v>124</v>
      </c>
      <c r="X48" s="219">
        <f t="shared" si="1"/>
        <v>0</v>
      </c>
      <c r="Y48" s="244"/>
      <c r="Z48" s="19"/>
    </row>
    <row r="49" spans="2:26" ht="17" customHeight="1" thickBot="1">
      <c r="B49" s="258" t="s">
        <v>125</v>
      </c>
      <c r="C49" s="288">
        <v>156448</v>
      </c>
      <c r="D49" s="289"/>
      <c r="E49" s="290"/>
      <c r="F49" s="259">
        <v>5</v>
      </c>
      <c r="G49" s="308">
        <v>5</v>
      </c>
      <c r="H49" s="309"/>
      <c r="I49" s="348">
        <f t="shared" si="2"/>
        <v>3911200</v>
      </c>
      <c r="J49" s="349"/>
      <c r="K49" s="350"/>
      <c r="L49" s="260"/>
      <c r="M49" s="110"/>
      <c r="O49" s="240"/>
      <c r="P49" s="183"/>
      <c r="Q49" s="183"/>
      <c r="R49" s="190" t="s">
        <v>139</v>
      </c>
      <c r="S49" s="191" t="s">
        <v>140</v>
      </c>
      <c r="T49" s="70" t="s">
        <v>123</v>
      </c>
      <c r="U49" s="71">
        <v>0</v>
      </c>
      <c r="V49" s="72">
        <v>0</v>
      </c>
      <c r="W49" s="73" t="s">
        <v>124</v>
      </c>
      <c r="X49" s="221">
        <f t="shared" si="1"/>
        <v>0</v>
      </c>
      <c r="Y49" s="244"/>
      <c r="Z49" s="212"/>
    </row>
    <row r="50" spans="2:26" ht="17" customHeight="1" thickBot="1">
      <c r="B50" s="258" t="s">
        <v>128</v>
      </c>
      <c r="C50" s="288">
        <v>196898</v>
      </c>
      <c r="D50" s="289"/>
      <c r="E50" s="290"/>
      <c r="F50" s="259">
        <v>6</v>
      </c>
      <c r="G50" s="308">
        <v>6</v>
      </c>
      <c r="H50" s="309"/>
      <c r="I50" s="348">
        <f t="shared" si="2"/>
        <v>7088328</v>
      </c>
      <c r="J50" s="349"/>
      <c r="K50" s="350"/>
      <c r="L50" s="260"/>
      <c r="M50" s="110"/>
      <c r="O50" s="240"/>
      <c r="P50" s="183"/>
      <c r="Q50" s="177" t="s">
        <v>105</v>
      </c>
      <c r="R50" s="192"/>
      <c r="S50" s="193" t="s">
        <v>141</v>
      </c>
      <c r="T50" s="75" t="s">
        <v>138</v>
      </c>
      <c r="U50" s="76" t="s">
        <v>138</v>
      </c>
      <c r="V50" s="77" t="s">
        <v>138</v>
      </c>
      <c r="W50" s="78" t="s">
        <v>142</v>
      </c>
      <c r="X50" s="222">
        <f>SUM(X10:X49)</f>
        <v>115199999.99999999</v>
      </c>
      <c r="Y50" s="244"/>
      <c r="Z50" s="212"/>
    </row>
    <row r="51" spans="2:26" ht="17" customHeight="1">
      <c r="B51" s="258" t="s">
        <v>131</v>
      </c>
      <c r="C51" s="288">
        <v>162349</v>
      </c>
      <c r="D51" s="289"/>
      <c r="E51" s="290"/>
      <c r="F51" s="259">
        <v>7</v>
      </c>
      <c r="G51" s="308">
        <v>7</v>
      </c>
      <c r="H51" s="309"/>
      <c r="I51" s="348">
        <f t="shared" si="2"/>
        <v>7955101</v>
      </c>
      <c r="J51" s="349"/>
      <c r="K51" s="350"/>
      <c r="L51" s="260"/>
      <c r="M51" s="110"/>
      <c r="O51" s="240"/>
      <c r="P51" s="194" t="s">
        <v>144</v>
      </c>
      <c r="Q51" s="195"/>
      <c r="R51" s="195" t="s">
        <v>145</v>
      </c>
      <c r="S51" s="196" t="s">
        <v>142</v>
      </c>
      <c r="T51" s="79" t="s">
        <v>146</v>
      </c>
      <c r="U51" s="80" t="s">
        <v>142</v>
      </c>
      <c r="V51" s="81" t="s">
        <v>142</v>
      </c>
      <c r="W51" s="82" t="s">
        <v>142</v>
      </c>
      <c r="X51" s="223">
        <f>X10+X50</f>
        <v>230399999.99999997</v>
      </c>
      <c r="Y51" s="244"/>
      <c r="Z51" s="19"/>
    </row>
    <row r="52" spans="2:26" ht="17" customHeight="1" thickBot="1">
      <c r="B52" s="261" t="s">
        <v>134</v>
      </c>
      <c r="C52" s="363">
        <v>147296</v>
      </c>
      <c r="D52" s="364"/>
      <c r="E52" s="365"/>
      <c r="F52" s="259">
        <v>8</v>
      </c>
      <c r="G52" s="308">
        <v>8</v>
      </c>
      <c r="H52" s="309"/>
      <c r="I52" s="351">
        <f t="shared" si="2"/>
        <v>9426944</v>
      </c>
      <c r="J52" s="352"/>
      <c r="K52" s="353"/>
      <c r="L52" s="262"/>
      <c r="M52" s="110"/>
      <c r="O52" s="240"/>
      <c r="P52" s="318" t="s">
        <v>147</v>
      </c>
      <c r="Q52" s="319"/>
      <c r="R52" s="197" t="s">
        <v>148</v>
      </c>
      <c r="S52" s="198" t="s">
        <v>142</v>
      </c>
      <c r="T52" s="83" t="s">
        <v>149</v>
      </c>
      <c r="U52" s="50">
        <v>0</v>
      </c>
      <c r="V52" s="84">
        <v>20</v>
      </c>
      <c r="W52" s="85" t="s">
        <v>19</v>
      </c>
      <c r="X52" s="224">
        <f>U52*V52/100</f>
        <v>0</v>
      </c>
      <c r="Y52" s="244"/>
      <c r="Z52" s="19"/>
    </row>
    <row r="53" spans="2:26" ht="17" customHeight="1" thickBot="1">
      <c r="B53" s="35" t="s">
        <v>137</v>
      </c>
      <c r="C53" s="294" t="s">
        <v>138</v>
      </c>
      <c r="D53" s="295"/>
      <c r="E53" s="296"/>
      <c r="F53" s="254" t="s">
        <v>138</v>
      </c>
      <c r="G53" s="310" t="s">
        <v>177</v>
      </c>
      <c r="H53" s="311"/>
      <c r="I53" s="354">
        <f>SUM(I45:K52)</f>
        <v>35047577</v>
      </c>
      <c r="J53" s="355"/>
      <c r="K53" s="356"/>
      <c r="L53" s="69"/>
      <c r="M53" s="110"/>
      <c r="O53" s="240"/>
      <c r="P53" s="318" t="s">
        <v>150</v>
      </c>
      <c r="Q53" s="319"/>
      <c r="R53" s="197" t="s">
        <v>151</v>
      </c>
      <c r="S53" s="189" t="s">
        <v>142</v>
      </c>
      <c r="T53" s="86" t="s">
        <v>152</v>
      </c>
      <c r="U53" s="50">
        <f>X10</f>
        <v>115199999.99999999</v>
      </c>
      <c r="V53" s="63">
        <v>0</v>
      </c>
      <c r="W53" s="51" t="s">
        <v>19</v>
      </c>
      <c r="X53" s="224">
        <f>U53*V53/100</f>
        <v>0</v>
      </c>
      <c r="Y53" s="244"/>
      <c r="Z53" s="19"/>
    </row>
    <row r="54" spans="2:26" ht="17" customHeight="1" thickBot="1">
      <c r="B54" s="287" t="s">
        <v>143</v>
      </c>
      <c r="C54" s="287"/>
      <c r="D54" s="287"/>
      <c r="E54" s="287"/>
      <c r="F54" s="74"/>
      <c r="M54" s="110"/>
      <c r="O54" s="240"/>
      <c r="P54" s="325" t="s">
        <v>153</v>
      </c>
      <c r="Q54" s="326"/>
      <c r="R54" s="199" t="s">
        <v>154</v>
      </c>
      <c r="S54" s="202" t="s">
        <v>142</v>
      </c>
      <c r="T54" s="87" t="s">
        <v>155</v>
      </c>
      <c r="U54" s="50">
        <f>X10+X53</f>
        <v>115199999.99999999</v>
      </c>
      <c r="V54" s="88">
        <v>0</v>
      </c>
      <c r="W54" s="89" t="s">
        <v>19</v>
      </c>
      <c r="X54" s="225">
        <f>U54*V54/100</f>
        <v>0</v>
      </c>
      <c r="Y54" s="244"/>
      <c r="Z54" s="213"/>
    </row>
    <row r="55" spans="2:26" ht="17" customHeight="1" thickBot="1">
      <c r="B55" s="372"/>
      <c r="C55" s="372"/>
      <c r="D55" s="372"/>
      <c r="E55" s="372"/>
      <c r="F55" s="2"/>
      <c r="M55" s="110"/>
      <c r="O55" s="240"/>
      <c r="P55" s="327" t="s">
        <v>156</v>
      </c>
      <c r="Q55" s="327"/>
      <c r="R55" s="327"/>
      <c r="S55" s="177" t="s">
        <v>157</v>
      </c>
      <c r="T55" s="78" t="s">
        <v>142</v>
      </c>
      <c r="U55" s="91" t="s">
        <v>142</v>
      </c>
      <c r="V55" s="77" t="s">
        <v>142</v>
      </c>
      <c r="W55" s="75" t="s">
        <v>142</v>
      </c>
      <c r="X55" s="226">
        <f>SUM(X51:X54)</f>
        <v>230399999.99999997</v>
      </c>
      <c r="Y55" s="244"/>
      <c r="Z55" s="19"/>
    </row>
    <row r="56" spans="2:26" ht="17.5" customHeight="1">
      <c r="B56" s="373" t="s">
        <v>216</v>
      </c>
      <c r="C56" s="373"/>
      <c r="D56" s="373"/>
      <c r="E56" s="373"/>
      <c r="F56" s="373"/>
      <c r="G56" s="373"/>
      <c r="H56" s="373"/>
      <c r="I56" s="373"/>
      <c r="J56" s="373"/>
      <c r="K56" s="373"/>
      <c r="L56" s="373"/>
      <c r="M56" s="110"/>
      <c r="O56" s="240"/>
      <c r="P56" s="328" t="s">
        <v>158</v>
      </c>
      <c r="Q56" s="329"/>
      <c r="R56" s="200" t="s">
        <v>159</v>
      </c>
      <c r="S56" s="203" t="s">
        <v>160</v>
      </c>
      <c r="T56" s="92" t="s">
        <v>161</v>
      </c>
      <c r="U56" s="50">
        <f>X55</f>
        <v>230399999.99999997</v>
      </c>
      <c r="V56" s="93">
        <v>0</v>
      </c>
      <c r="W56" s="82" t="s">
        <v>19</v>
      </c>
      <c r="X56" s="227">
        <f>U56*V56/100</f>
        <v>0</v>
      </c>
      <c r="Y56" s="244"/>
      <c r="Z56" s="19"/>
    </row>
    <row r="57" spans="2:26" ht="17.5" customHeight="1">
      <c r="B57" s="374" t="s">
        <v>215</v>
      </c>
      <c r="C57" s="374"/>
      <c r="D57" s="374"/>
      <c r="E57" s="374"/>
      <c r="F57" s="374"/>
      <c r="G57" s="374"/>
      <c r="H57" s="374"/>
      <c r="I57" s="374"/>
      <c r="J57" s="374"/>
      <c r="K57" s="374"/>
      <c r="L57" s="374"/>
      <c r="O57" s="240"/>
      <c r="P57" s="330"/>
      <c r="Q57" s="331"/>
      <c r="R57" s="17" t="s">
        <v>162</v>
      </c>
      <c r="S57" s="204" t="s">
        <v>163</v>
      </c>
      <c r="T57" s="94" t="s">
        <v>164</v>
      </c>
      <c r="U57" s="50">
        <f>X55</f>
        <v>230399999.99999997</v>
      </c>
      <c r="V57" s="63">
        <v>0</v>
      </c>
      <c r="W57" s="51" t="s">
        <v>19</v>
      </c>
      <c r="X57" s="228">
        <f>U57*V57/100</f>
        <v>0</v>
      </c>
      <c r="Y57" s="244"/>
      <c r="Z57" s="19"/>
    </row>
    <row r="58" spans="2:26" ht="17" customHeight="1">
      <c r="O58" s="240"/>
      <c r="P58" s="330"/>
      <c r="Q58" s="331"/>
      <c r="R58" s="17" t="s">
        <v>165</v>
      </c>
      <c r="S58" s="205" t="s">
        <v>166</v>
      </c>
      <c r="T58" s="95" t="s">
        <v>167</v>
      </c>
      <c r="U58" s="50">
        <f>X55</f>
        <v>230399999.99999997</v>
      </c>
      <c r="V58" s="63">
        <v>0</v>
      </c>
      <c r="W58" s="51" t="s">
        <v>19</v>
      </c>
      <c r="X58" s="228">
        <f>U58*V58/100</f>
        <v>0</v>
      </c>
      <c r="Y58" s="244"/>
      <c r="Z58" s="19"/>
    </row>
    <row r="59" spans="2:26" ht="17" customHeight="1" thickBot="1">
      <c r="O59" s="240"/>
      <c r="P59" s="332"/>
      <c r="Q59" s="333"/>
      <c r="R59" s="201" t="s">
        <v>168</v>
      </c>
      <c r="S59" s="206" t="s">
        <v>169</v>
      </c>
      <c r="T59" s="96" t="s">
        <v>170</v>
      </c>
      <c r="U59" s="97">
        <f>X55</f>
        <v>230399999.99999997</v>
      </c>
      <c r="V59" s="98">
        <v>0</v>
      </c>
      <c r="W59" s="89" t="s">
        <v>30</v>
      </c>
      <c r="X59" s="229">
        <f>U59*V59</f>
        <v>0</v>
      </c>
      <c r="Y59" s="246"/>
      <c r="Z59" s="213"/>
    </row>
    <row r="60" spans="2:26" ht="17" customHeight="1" thickBot="1">
      <c r="O60" s="247"/>
      <c r="P60" s="334" t="s">
        <v>171</v>
      </c>
      <c r="Q60" s="335"/>
      <c r="R60" s="335"/>
      <c r="S60" s="177" t="s">
        <v>172</v>
      </c>
      <c r="T60" s="99" t="s">
        <v>173</v>
      </c>
      <c r="U60" s="100" t="s">
        <v>142</v>
      </c>
      <c r="V60" s="101" t="s">
        <v>142</v>
      </c>
      <c r="W60" s="102" t="s">
        <v>142</v>
      </c>
      <c r="X60" s="230">
        <f>SUM(X55:X59)</f>
        <v>230399999.99999997</v>
      </c>
      <c r="Y60" s="249"/>
      <c r="Z60" s="213"/>
    </row>
    <row r="61" spans="2:26" ht="17.5" customHeight="1" thickTop="1" thickBot="1">
      <c r="P61" s="336" t="s">
        <v>174</v>
      </c>
      <c r="Q61" s="336"/>
      <c r="R61" s="337"/>
      <c r="S61" s="207" t="s">
        <v>175</v>
      </c>
      <c r="T61" s="103" t="s">
        <v>176</v>
      </c>
      <c r="U61" s="104" t="s">
        <v>142</v>
      </c>
      <c r="V61" s="105" t="s">
        <v>142</v>
      </c>
      <c r="W61" s="106" t="s">
        <v>142</v>
      </c>
      <c r="X61" s="231">
        <f>X60*1.1</f>
        <v>253440000</v>
      </c>
      <c r="Y61" s="52"/>
      <c r="Z61" s="19"/>
    </row>
    <row r="62" spans="2:26" ht="17.5" customHeight="1">
      <c r="P62" s="324"/>
      <c r="Q62" s="324"/>
      <c r="R62" s="324"/>
      <c r="S62" s="324"/>
      <c r="T62" s="371"/>
      <c r="U62" s="371"/>
      <c r="V62" s="371"/>
      <c r="W62" s="371"/>
      <c r="X62" s="248"/>
      <c r="Y62" s="13"/>
      <c r="Z62" s="213"/>
    </row>
    <row r="63" spans="2:26" ht="17" customHeight="1">
      <c r="P63" s="331"/>
      <c r="Q63" s="331"/>
      <c r="R63" s="331"/>
      <c r="S63" s="331"/>
      <c r="T63" s="370"/>
      <c r="U63" s="370"/>
      <c r="V63" s="370"/>
      <c r="W63" s="370"/>
      <c r="X63" s="52"/>
      <c r="Z63" s="19"/>
    </row>
    <row r="64" spans="2:26">
      <c r="P64" s="331"/>
      <c r="Q64" s="331"/>
      <c r="R64" s="331"/>
      <c r="S64" s="368"/>
      <c r="T64" s="331"/>
      <c r="U64" s="331"/>
      <c r="V64" s="331"/>
      <c r="W64" s="331"/>
      <c r="X64" s="13"/>
      <c r="Y64" s="21"/>
      <c r="Z64" s="19"/>
    </row>
    <row r="65" spans="16:26" ht="17" customHeight="1">
      <c r="P65" s="331"/>
      <c r="Q65" s="331"/>
      <c r="R65" s="331"/>
      <c r="S65" s="331"/>
      <c r="T65" s="368"/>
      <c r="U65" s="368"/>
      <c r="V65" s="368"/>
      <c r="W65" s="368"/>
      <c r="Z65" s="19"/>
    </row>
    <row r="66" spans="16:26" ht="17.5" customHeight="1">
      <c r="P66" s="331"/>
      <c r="Q66" s="331"/>
      <c r="R66" s="331"/>
      <c r="S66" s="331"/>
      <c r="T66" s="369"/>
      <c r="U66" s="369"/>
      <c r="V66" s="369"/>
      <c r="W66" s="369"/>
      <c r="X66" s="21"/>
      <c r="Z66" s="19"/>
    </row>
    <row r="67" spans="16:26" ht="17.5" customHeight="1">
      <c r="P67" s="331"/>
      <c r="Q67" s="331"/>
      <c r="R67" s="331"/>
      <c r="S67" s="331"/>
      <c r="T67" s="368"/>
      <c r="U67" s="368"/>
      <c r="V67" s="368"/>
      <c r="W67" s="368"/>
      <c r="Z67" s="213"/>
    </row>
    <row r="68" spans="16:26" ht="22" customHeight="1">
      <c r="P68" s="331"/>
      <c r="Q68" s="331"/>
      <c r="R68" s="331"/>
      <c r="S68" s="331"/>
      <c r="T68" s="368"/>
      <c r="U68" s="368"/>
      <c r="V68" s="368"/>
      <c r="W68" s="368"/>
      <c r="Y68" s="214"/>
      <c r="Z68" s="213"/>
    </row>
    <row r="69" spans="16:26" ht="17.5" customHeight="1">
      <c r="P69" s="331"/>
      <c r="Q69" s="331"/>
      <c r="R69" s="331"/>
      <c r="S69" s="331"/>
      <c r="T69" s="331"/>
      <c r="U69" s="331"/>
      <c r="V69" s="331"/>
      <c r="W69" s="331"/>
    </row>
    <row r="70" spans="16:26" ht="21">
      <c r="P70" s="366"/>
      <c r="Q70" s="366"/>
      <c r="R70" s="366"/>
      <c r="S70" s="366"/>
      <c r="T70" s="367"/>
      <c r="U70" s="367"/>
      <c r="V70" s="367"/>
      <c r="W70" s="367"/>
      <c r="X70" s="214"/>
    </row>
  </sheetData>
  <mergeCells count="92">
    <mergeCell ref="T62:W62"/>
    <mergeCell ref="B55:E55"/>
    <mergeCell ref="B56:L56"/>
    <mergeCell ref="B57:L57"/>
    <mergeCell ref="AG24:AK24"/>
    <mergeCell ref="AC27:AE27"/>
    <mergeCell ref="P63:Q63"/>
    <mergeCell ref="R63:S63"/>
    <mergeCell ref="T63:W63"/>
    <mergeCell ref="P64:S64"/>
    <mergeCell ref="T64:W64"/>
    <mergeCell ref="C51:E51"/>
    <mergeCell ref="C52:E52"/>
    <mergeCell ref="C53:E53"/>
    <mergeCell ref="P70:S70"/>
    <mergeCell ref="T70:W70"/>
    <mergeCell ref="R68:S68"/>
    <mergeCell ref="T68:W68"/>
    <mergeCell ref="P69:S69"/>
    <mergeCell ref="T69:W69"/>
    <mergeCell ref="P65:Q68"/>
    <mergeCell ref="R65:S65"/>
    <mergeCell ref="T65:W65"/>
    <mergeCell ref="R66:S66"/>
    <mergeCell ref="T66:W66"/>
    <mergeCell ref="R67:S67"/>
    <mergeCell ref="T67:W67"/>
    <mergeCell ref="I51:K51"/>
    <mergeCell ref="I52:K52"/>
    <mergeCell ref="I53:K53"/>
    <mergeCell ref="G16:I16"/>
    <mergeCell ref="J16:L16"/>
    <mergeCell ref="G44:H44"/>
    <mergeCell ref="I44:K44"/>
    <mergeCell ref="I45:K45"/>
    <mergeCell ref="I46:K46"/>
    <mergeCell ref="I47:K47"/>
    <mergeCell ref="I48:K48"/>
    <mergeCell ref="I49:K49"/>
    <mergeCell ref="I50:K50"/>
    <mergeCell ref="P52:Q52"/>
    <mergeCell ref="P53:Q53"/>
    <mergeCell ref="P5:R6"/>
    <mergeCell ref="P62:S62"/>
    <mergeCell ref="P54:Q54"/>
    <mergeCell ref="P55:R55"/>
    <mergeCell ref="P56:Q59"/>
    <mergeCell ref="P60:R60"/>
    <mergeCell ref="P61:R61"/>
    <mergeCell ref="G47:H47"/>
    <mergeCell ref="G48:H48"/>
    <mergeCell ref="G49:H49"/>
    <mergeCell ref="G50:H50"/>
    <mergeCell ref="C6:D6"/>
    <mergeCell ref="C7:D7"/>
    <mergeCell ref="C8:D8"/>
    <mergeCell ref="B12:C13"/>
    <mergeCell ref="AB2:AC2"/>
    <mergeCell ref="D12:G13"/>
    <mergeCell ref="B41:C42"/>
    <mergeCell ref="D41:G42"/>
    <mergeCell ref="B9:L9"/>
    <mergeCell ref="AC16:AK16"/>
    <mergeCell ref="AC13:AK13"/>
    <mergeCell ref="AE23:AK23"/>
    <mergeCell ref="AE22:AK22"/>
    <mergeCell ref="AB5:AL7"/>
    <mergeCell ref="AD10:AJ10"/>
    <mergeCell ref="AD9:AJ9"/>
    <mergeCell ref="AD11:AJ11"/>
    <mergeCell ref="AD12:AJ12"/>
    <mergeCell ref="R2:S2"/>
    <mergeCell ref="B54:E54"/>
    <mergeCell ref="C50:E50"/>
    <mergeCell ref="C49:E49"/>
    <mergeCell ref="C48:E48"/>
    <mergeCell ref="C47:E47"/>
    <mergeCell ref="C46:E46"/>
    <mergeCell ref="C45:E45"/>
    <mergeCell ref="C44:E44"/>
    <mergeCell ref="P2:Q2"/>
    <mergeCell ref="G51:H51"/>
    <mergeCell ref="G52:H52"/>
    <mergeCell ref="G53:H53"/>
    <mergeCell ref="F43:L43"/>
    <mergeCell ref="G45:H45"/>
    <mergeCell ref="G46:H46"/>
    <mergeCell ref="D16:F16"/>
    <mergeCell ref="B37:E38"/>
    <mergeCell ref="E6:L8"/>
    <mergeCell ref="P3:X4"/>
    <mergeCell ref="S5:T6"/>
  </mergeCells>
  <phoneticPr fontId="3" type="noConversion"/>
  <dataValidations count="1">
    <dataValidation type="list" allowBlank="1" showInputMessage="1" showErrorMessage="1" sqref="C7:D7">
      <formula1>"3종상급,3종중급, 3종기본, 2종상급, 2종중급, 2종기본, 1종상급, 1종중급, 1종기본"</formula1>
    </dataValidation>
  </dataValidations>
  <pageMargins left="0.70866141732283472" right="0.70866141732283472" top="0.74803149606299213" bottom="0.74803149606299213" header="0.31496062992125984" footer="0.31496062992125984"/>
  <pageSetup scale="53" fitToWidth="4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9"/>
  <dimension ref="B1:AN67"/>
  <sheetViews>
    <sheetView tabSelected="1" zoomScale="70" zoomScaleNormal="70" workbookViewId="0">
      <selection activeCell="C18" sqref="C18:D18"/>
    </sheetView>
  </sheetViews>
  <sheetFormatPr defaultRowHeight="17"/>
  <cols>
    <col min="3" max="3" width="19.33203125" bestFit="1" customWidth="1"/>
    <col min="4" max="4" width="11.9140625" customWidth="1"/>
    <col min="5" max="5" width="10.9140625" customWidth="1"/>
    <col min="12" max="12" width="12.08203125" customWidth="1"/>
    <col min="13" max="13" width="25" customWidth="1"/>
    <col min="14" max="14" width="4.08203125" customWidth="1"/>
    <col min="15" max="15" width="11.6640625" customWidth="1"/>
    <col min="16" max="16" width="5.25" customWidth="1"/>
    <col min="17" max="17" width="9.4140625" customWidth="1"/>
    <col min="18" max="18" width="10.4140625" customWidth="1"/>
    <col min="19" max="19" width="5.25" customWidth="1"/>
    <col min="20" max="20" width="7.83203125" customWidth="1"/>
    <col min="21" max="21" width="9" customWidth="1"/>
    <col min="22" max="22" width="13.25" customWidth="1"/>
    <col min="23" max="23" width="12.08203125" customWidth="1"/>
    <col min="24" max="24" width="5.08203125" customWidth="1"/>
    <col min="25" max="25" width="5.75" customWidth="1"/>
    <col min="26" max="26" width="15.83203125" customWidth="1"/>
    <col min="27" max="27" width="4.9140625" customWidth="1"/>
    <col min="28" max="28" width="12.33203125" customWidth="1"/>
    <col min="29" max="29" width="5.25" customWidth="1"/>
    <col min="35" max="35" width="2.58203125" customWidth="1"/>
    <col min="36" max="36" width="3.6640625" customWidth="1"/>
    <col min="37" max="37" width="3.08203125" customWidth="1"/>
    <col min="38" max="38" width="3.83203125" customWidth="1"/>
    <col min="39" max="39" width="3.1640625" customWidth="1"/>
    <col min="40" max="40" width="10.9140625" customWidth="1"/>
  </cols>
  <sheetData>
    <row r="1" spans="2:40" ht="31" customHeight="1" thickBot="1">
      <c r="B1" s="109"/>
      <c r="C1" s="109"/>
      <c r="D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236"/>
      <c r="P1" s="236"/>
    </row>
    <row r="2" spans="2:40" ht="44" customHeight="1" thickBot="1">
      <c r="B2" s="236"/>
      <c r="C2" s="265" t="s">
        <v>204</v>
      </c>
      <c r="D2" s="418"/>
      <c r="E2" s="418"/>
      <c r="F2" s="418"/>
      <c r="G2" s="418"/>
      <c r="H2" s="418"/>
      <c r="I2" s="418"/>
      <c r="J2" s="418"/>
      <c r="K2" s="418"/>
      <c r="L2" s="418"/>
      <c r="M2" s="418"/>
      <c r="N2" s="418"/>
      <c r="O2" s="235"/>
      <c r="P2" s="454"/>
      <c r="Q2" s="297" t="s">
        <v>203</v>
      </c>
      <c r="R2" s="298"/>
      <c r="S2" s="455" t="s">
        <v>218</v>
      </c>
      <c r="T2" s="455"/>
      <c r="U2" s="455"/>
      <c r="V2" s="455"/>
      <c r="W2" s="456"/>
      <c r="X2" s="457"/>
      <c r="Y2" s="457"/>
      <c r="Z2" s="457"/>
      <c r="AA2" s="458"/>
      <c r="AD2" s="297" t="s">
        <v>213</v>
      </c>
      <c r="AE2" s="298"/>
    </row>
    <row r="3" spans="2:40" ht="17.5" customHeight="1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08"/>
      <c r="O3" s="2"/>
      <c r="P3" s="459"/>
      <c r="Q3" s="279" t="s">
        <v>278</v>
      </c>
      <c r="R3" s="279"/>
      <c r="S3" s="279"/>
      <c r="T3" s="279"/>
      <c r="U3" s="279"/>
      <c r="V3" s="279"/>
      <c r="W3" s="279"/>
      <c r="X3" s="279"/>
      <c r="Y3" s="279"/>
      <c r="Z3" s="279"/>
      <c r="AA3" s="460"/>
      <c r="AD3" s="163"/>
      <c r="AE3" s="164"/>
      <c r="AF3" s="164"/>
      <c r="AG3" s="164"/>
      <c r="AH3" s="164"/>
      <c r="AI3" s="164"/>
      <c r="AJ3" s="164"/>
      <c r="AK3" s="164"/>
      <c r="AL3" s="164"/>
      <c r="AM3" s="164"/>
      <c r="AN3" s="165"/>
    </row>
    <row r="4" spans="2:40" ht="20" customHeight="1">
      <c r="B4" s="2"/>
      <c r="C4" s="208" t="s">
        <v>220</v>
      </c>
      <c r="D4" s="423"/>
      <c r="E4" s="423"/>
      <c r="F4" s="115"/>
      <c r="G4" s="425"/>
      <c r="H4" s="425"/>
      <c r="I4" s="114"/>
      <c r="J4" s="419"/>
      <c r="K4" s="419"/>
      <c r="L4" s="419"/>
      <c r="M4" s="419"/>
      <c r="N4" s="419"/>
      <c r="O4" s="5"/>
      <c r="P4" s="461"/>
      <c r="Q4" s="279"/>
      <c r="R4" s="279"/>
      <c r="S4" s="279"/>
      <c r="T4" s="279"/>
      <c r="U4" s="279"/>
      <c r="V4" s="279"/>
      <c r="W4" s="279"/>
      <c r="X4" s="279"/>
      <c r="Y4" s="279"/>
      <c r="Z4" s="279"/>
      <c r="AA4" s="460"/>
      <c r="AD4" s="167"/>
      <c r="AE4" s="168"/>
      <c r="AF4" s="168"/>
      <c r="AG4" s="168"/>
      <c r="AH4" s="168"/>
      <c r="AI4" s="168"/>
      <c r="AJ4" s="168"/>
      <c r="AK4" s="168"/>
      <c r="AL4" s="168"/>
      <c r="AM4" s="168"/>
      <c r="AN4" s="169"/>
    </row>
    <row r="5" spans="2:40" ht="26.5" customHeight="1">
      <c r="B5" s="2"/>
      <c r="C5" s="420"/>
      <c r="D5" s="421"/>
      <c r="E5" s="422"/>
      <c r="F5" s="420"/>
      <c r="G5" s="422"/>
      <c r="H5" s="422"/>
      <c r="I5" s="422"/>
      <c r="J5" s="419"/>
      <c r="K5" s="419"/>
      <c r="L5" s="419"/>
      <c r="M5" s="419"/>
      <c r="N5" s="419"/>
      <c r="O5" s="5"/>
      <c r="P5" s="461"/>
      <c r="Q5" s="386" t="s">
        <v>224</v>
      </c>
      <c r="R5" s="386"/>
      <c r="S5" s="452">
        <f>Z45</f>
        <v>38552334.700000003</v>
      </c>
      <c r="T5" s="452"/>
      <c r="U5" s="452"/>
      <c r="V5" s="452"/>
      <c r="W5" s="6"/>
      <c r="X5" s="17"/>
      <c r="Y5" s="15" t="s">
        <v>0</v>
      </c>
      <c r="Z5" s="15"/>
      <c r="AA5" s="462"/>
      <c r="AD5" s="342" t="s">
        <v>181</v>
      </c>
      <c r="AE5" s="343"/>
      <c r="AF5" s="343"/>
      <c r="AG5" s="343"/>
      <c r="AH5" s="343"/>
      <c r="AI5" s="343"/>
      <c r="AJ5" s="343"/>
      <c r="AK5" s="343"/>
      <c r="AL5" s="343"/>
      <c r="AM5" s="343"/>
      <c r="AN5" s="344"/>
    </row>
    <row r="6" spans="2:40" ht="20.5" customHeight="1">
      <c r="B6" s="2"/>
      <c r="C6" s="266" t="s">
        <v>205</v>
      </c>
      <c r="D6" s="428">
        <v>854370966</v>
      </c>
      <c r="E6" s="428"/>
      <c r="F6" s="280" t="s">
        <v>221</v>
      </c>
      <c r="G6" s="280"/>
      <c r="H6" s="280"/>
      <c r="I6" s="280"/>
      <c r="J6" s="280"/>
      <c r="K6" s="280"/>
      <c r="L6" s="280"/>
      <c r="M6" s="280"/>
      <c r="N6" s="253"/>
      <c r="O6" s="110"/>
      <c r="P6" s="463"/>
      <c r="Q6" s="451"/>
      <c r="R6" s="209"/>
      <c r="S6" s="209"/>
      <c r="T6" s="11"/>
      <c r="U6" s="6"/>
      <c r="V6" s="6"/>
      <c r="W6" s="6"/>
      <c r="X6" s="17"/>
      <c r="Y6" s="15"/>
      <c r="Z6" s="15"/>
      <c r="AA6" s="462"/>
      <c r="AD6" s="342"/>
      <c r="AE6" s="343"/>
      <c r="AF6" s="343"/>
      <c r="AG6" s="343"/>
      <c r="AH6" s="343"/>
      <c r="AI6" s="343"/>
      <c r="AJ6" s="343"/>
      <c r="AK6" s="343"/>
      <c r="AL6" s="343"/>
      <c r="AM6" s="343"/>
      <c r="AN6" s="344"/>
    </row>
    <row r="7" spans="2:40" ht="17" customHeight="1" thickBot="1">
      <c r="B7" s="2"/>
      <c r="C7" s="267" t="s">
        <v>206</v>
      </c>
      <c r="D7" s="427" t="s">
        <v>13</v>
      </c>
      <c r="E7" s="427"/>
      <c r="F7" s="280"/>
      <c r="G7" s="280"/>
      <c r="H7" s="280"/>
      <c r="I7" s="280"/>
      <c r="J7" s="280"/>
      <c r="K7" s="280"/>
      <c r="L7" s="280"/>
      <c r="M7" s="280"/>
      <c r="N7" s="253"/>
      <c r="O7" s="110"/>
      <c r="P7" s="463"/>
      <c r="Q7" s="464" t="s">
        <v>230</v>
      </c>
      <c r="R7" s="464"/>
      <c r="S7" s="464"/>
      <c r="T7" s="464"/>
      <c r="U7" s="464"/>
      <c r="V7" s="15"/>
      <c r="W7" s="17"/>
      <c r="X7" s="15"/>
      <c r="Y7" s="15"/>
      <c r="Z7" s="15"/>
      <c r="AA7" s="462"/>
      <c r="AD7" s="342"/>
      <c r="AE7" s="343"/>
      <c r="AF7" s="343"/>
      <c r="AG7" s="343"/>
      <c r="AH7" s="343"/>
      <c r="AI7" s="343"/>
      <c r="AJ7" s="343"/>
      <c r="AK7" s="343"/>
      <c r="AL7" s="343"/>
      <c r="AM7" s="343"/>
      <c r="AN7" s="344"/>
    </row>
    <row r="8" spans="2:40" ht="17.5" customHeight="1">
      <c r="B8" s="2"/>
      <c r="C8" s="268" t="s">
        <v>207</v>
      </c>
      <c r="D8" s="429">
        <v>1.428582516136E-2</v>
      </c>
      <c r="E8" s="427"/>
      <c r="F8" s="280"/>
      <c r="G8" s="280"/>
      <c r="H8" s="280"/>
      <c r="I8" s="280"/>
      <c r="J8" s="280"/>
      <c r="K8" s="280"/>
      <c r="L8" s="280"/>
      <c r="M8" s="280"/>
      <c r="N8" s="253"/>
      <c r="O8" s="110"/>
      <c r="P8" s="463"/>
      <c r="Q8" s="473" t="s">
        <v>3</v>
      </c>
      <c r="R8" s="474"/>
      <c r="S8" s="475" t="s">
        <v>4</v>
      </c>
      <c r="T8" s="474" t="s">
        <v>5</v>
      </c>
      <c r="U8" s="474"/>
      <c r="V8" s="475" t="s">
        <v>6</v>
      </c>
      <c r="W8" s="475" t="s">
        <v>7</v>
      </c>
      <c r="X8" s="476" t="s">
        <v>8</v>
      </c>
      <c r="Y8" s="475" t="s">
        <v>9</v>
      </c>
      <c r="Z8" s="475" t="s">
        <v>10</v>
      </c>
      <c r="AA8" s="465"/>
      <c r="AD8" s="116"/>
      <c r="AE8" s="117"/>
      <c r="AF8" s="117"/>
      <c r="AG8" s="117"/>
      <c r="AH8" s="117"/>
      <c r="AI8" s="118"/>
      <c r="AJ8" s="118"/>
      <c r="AK8" s="118"/>
      <c r="AL8" s="118"/>
      <c r="AM8" s="118"/>
      <c r="AN8" s="119"/>
    </row>
    <row r="9" spans="2:40" ht="17.5" customHeight="1">
      <c r="B9" s="2"/>
      <c r="C9" s="307" t="s">
        <v>208</v>
      </c>
      <c r="D9" s="307"/>
      <c r="E9" s="307"/>
      <c r="F9" s="307"/>
      <c r="G9" s="307"/>
      <c r="H9" s="307"/>
      <c r="I9" s="307"/>
      <c r="J9" s="307"/>
      <c r="K9" s="307"/>
      <c r="L9" s="307"/>
      <c r="M9" s="307"/>
      <c r="N9" s="107"/>
      <c r="O9" s="110"/>
      <c r="P9" s="463"/>
      <c r="Q9" s="477" t="s">
        <v>25</v>
      </c>
      <c r="R9" s="478" t="s">
        <v>26</v>
      </c>
      <c r="S9" s="479" t="s">
        <v>16</v>
      </c>
      <c r="T9" s="480" t="s">
        <v>231</v>
      </c>
      <c r="U9" s="481"/>
      <c r="V9" s="482" t="s">
        <v>232</v>
      </c>
      <c r="W9" s="483">
        <v>35047577</v>
      </c>
      <c r="X9" s="484">
        <v>1</v>
      </c>
      <c r="Y9" s="258" t="s">
        <v>233</v>
      </c>
      <c r="Z9" s="485">
        <f>W9*X9</f>
        <v>35047577</v>
      </c>
      <c r="AA9" s="466"/>
      <c r="AD9" s="120"/>
      <c r="AE9" s="156" t="s">
        <v>188</v>
      </c>
      <c r="AF9" s="346" t="s">
        <v>189</v>
      </c>
      <c r="AG9" s="346"/>
      <c r="AH9" s="346"/>
      <c r="AI9" s="346"/>
      <c r="AJ9" s="346"/>
      <c r="AK9" s="346"/>
      <c r="AL9" s="346"/>
      <c r="AM9" s="121"/>
      <c r="AN9" s="122"/>
    </row>
    <row r="10" spans="2:40">
      <c r="B10" s="2"/>
      <c r="C10" s="423"/>
      <c r="D10" s="423"/>
      <c r="E10" s="423"/>
      <c r="F10" s="423"/>
      <c r="G10" s="423"/>
      <c r="H10" s="424"/>
      <c r="I10" s="424"/>
      <c r="J10" s="424"/>
      <c r="K10" s="424"/>
      <c r="L10" s="424"/>
      <c r="M10" s="424"/>
      <c r="N10" s="424"/>
      <c r="O10" s="110"/>
      <c r="P10" s="463"/>
      <c r="Q10" s="477"/>
      <c r="R10" s="477" t="s">
        <v>31</v>
      </c>
      <c r="S10" s="486" t="s">
        <v>27</v>
      </c>
      <c r="T10" s="487" t="s">
        <v>234</v>
      </c>
      <c r="U10" s="487"/>
      <c r="V10" s="488" t="s">
        <v>235</v>
      </c>
      <c r="W10" s="489">
        <v>0</v>
      </c>
      <c r="X10" s="490">
        <v>0</v>
      </c>
      <c r="Y10" s="491" t="s">
        <v>30</v>
      </c>
      <c r="Z10" s="492">
        <f>W10*X10</f>
        <v>0</v>
      </c>
      <c r="AA10" s="467"/>
      <c r="AD10" s="157"/>
      <c r="AE10" s="158" t="s">
        <v>190</v>
      </c>
      <c r="AF10" s="345" t="s">
        <v>191</v>
      </c>
      <c r="AG10" s="345"/>
      <c r="AH10" s="345"/>
      <c r="AI10" s="345"/>
      <c r="AJ10" s="345"/>
      <c r="AK10" s="345"/>
      <c r="AL10" s="345"/>
      <c r="AM10" s="123"/>
      <c r="AN10" s="124"/>
    </row>
    <row r="11" spans="2:40" ht="18" customHeight="1" thickBot="1">
      <c r="B11" s="2"/>
      <c r="C11" s="423"/>
      <c r="D11" s="423"/>
      <c r="E11" s="423"/>
      <c r="F11" s="423"/>
      <c r="G11" s="423"/>
      <c r="H11" s="424"/>
      <c r="I11" s="424"/>
      <c r="J11" s="424"/>
      <c r="K11" s="424"/>
      <c r="L11" s="424"/>
      <c r="M11" s="424"/>
      <c r="N11" s="424"/>
      <c r="O11" s="110"/>
      <c r="P11" s="463"/>
      <c r="Q11" s="477"/>
      <c r="R11" s="477"/>
      <c r="S11" s="479" t="s">
        <v>32</v>
      </c>
      <c r="T11" s="487" t="s">
        <v>236</v>
      </c>
      <c r="U11" s="487"/>
      <c r="V11" s="488" t="s">
        <v>235</v>
      </c>
      <c r="W11" s="489">
        <v>0</v>
      </c>
      <c r="X11" s="490">
        <v>0</v>
      </c>
      <c r="Y11" s="491" t="s">
        <v>30</v>
      </c>
      <c r="Z11" s="492">
        <f t="shared" ref="Z11:Z24" si="0">W11*X11</f>
        <v>0</v>
      </c>
      <c r="AA11" s="467"/>
      <c r="AD11" s="159"/>
      <c r="AE11" s="158"/>
      <c r="AF11" s="347"/>
      <c r="AG11" s="347"/>
      <c r="AH11" s="347"/>
      <c r="AI11" s="347"/>
      <c r="AJ11" s="347"/>
      <c r="AK11" s="347"/>
      <c r="AL11" s="347"/>
      <c r="AM11" s="123"/>
      <c r="AN11" s="124"/>
    </row>
    <row r="12" spans="2:40" ht="17.5" customHeight="1">
      <c r="B12" s="2"/>
      <c r="C12" s="377" t="s">
        <v>222</v>
      </c>
      <c r="D12" s="378"/>
      <c r="E12" s="299">
        <v>12205394.243218249</v>
      </c>
      <c r="F12" s="299"/>
      <c r="G12" s="299"/>
      <c r="H12" s="300"/>
      <c r="I12" s="426"/>
      <c r="J12" s="426"/>
      <c r="K12" s="426"/>
      <c r="L12" s="426"/>
      <c r="M12" s="426"/>
      <c r="N12" s="426"/>
      <c r="O12" s="110"/>
      <c r="P12" s="463"/>
      <c r="Q12" s="477"/>
      <c r="R12" s="477"/>
      <c r="S12" s="486" t="s">
        <v>35</v>
      </c>
      <c r="T12" s="487" t="s">
        <v>237</v>
      </c>
      <c r="U12" s="487"/>
      <c r="V12" s="488" t="s">
        <v>235</v>
      </c>
      <c r="W12" s="489">
        <v>0</v>
      </c>
      <c r="X12" s="490">
        <v>0</v>
      </c>
      <c r="Y12" s="491" t="s">
        <v>30</v>
      </c>
      <c r="Z12" s="492">
        <f t="shared" si="0"/>
        <v>0</v>
      </c>
      <c r="AA12" s="467"/>
      <c r="AD12" s="159"/>
      <c r="AE12" s="158"/>
      <c r="AF12" s="347"/>
      <c r="AG12" s="347"/>
      <c r="AH12" s="347"/>
      <c r="AI12" s="347"/>
      <c r="AJ12" s="347"/>
      <c r="AK12" s="347"/>
      <c r="AL12" s="347"/>
      <c r="AM12" s="123"/>
      <c r="AN12" s="124"/>
    </row>
    <row r="13" spans="2:40" ht="17.5" customHeight="1" thickBot="1">
      <c r="B13" s="2"/>
      <c r="C13" s="379"/>
      <c r="D13" s="380"/>
      <c r="E13" s="301"/>
      <c r="F13" s="301"/>
      <c r="G13" s="301"/>
      <c r="H13" s="302"/>
      <c r="I13" s="111"/>
      <c r="J13" s="111"/>
      <c r="K13" s="111"/>
      <c r="L13" s="111"/>
      <c r="M13" s="111"/>
      <c r="N13" s="111"/>
      <c r="O13" s="110"/>
      <c r="P13" s="463"/>
      <c r="Q13" s="477"/>
      <c r="R13" s="477"/>
      <c r="S13" s="479" t="s">
        <v>37</v>
      </c>
      <c r="T13" s="493" t="s">
        <v>238</v>
      </c>
      <c r="U13" s="493"/>
      <c r="V13" s="488" t="s">
        <v>235</v>
      </c>
      <c r="W13" s="489">
        <v>0</v>
      </c>
      <c r="X13" s="490">
        <v>0</v>
      </c>
      <c r="Y13" s="491" t="s">
        <v>30</v>
      </c>
      <c r="Z13" s="492">
        <f t="shared" si="0"/>
        <v>0</v>
      </c>
      <c r="AA13" s="467"/>
      <c r="AD13" s="126"/>
      <c r="AE13" s="339" t="s">
        <v>277</v>
      </c>
      <c r="AF13" s="339"/>
      <c r="AG13" s="339"/>
      <c r="AH13" s="339"/>
      <c r="AI13" s="339"/>
      <c r="AJ13" s="339"/>
      <c r="AK13" s="339"/>
      <c r="AL13" s="339"/>
      <c r="AM13" s="339"/>
      <c r="AN13" s="124"/>
    </row>
    <row r="14" spans="2:40" ht="18" customHeight="1">
      <c r="B14" s="2"/>
      <c r="C14" s="273"/>
      <c r="D14" s="273"/>
      <c r="E14" s="274"/>
      <c r="F14" s="274"/>
      <c r="G14" s="274"/>
      <c r="H14" s="274"/>
      <c r="I14" s="111"/>
      <c r="J14" s="111"/>
      <c r="K14" s="111"/>
      <c r="L14" s="111"/>
      <c r="M14" s="111"/>
      <c r="N14" s="111"/>
      <c r="O14" s="110"/>
      <c r="P14" s="463"/>
      <c r="Q14" s="477"/>
      <c r="R14" s="477"/>
      <c r="S14" s="486" t="s">
        <v>39</v>
      </c>
      <c r="T14" s="493" t="s">
        <v>239</v>
      </c>
      <c r="U14" s="493"/>
      <c r="V14" s="488" t="s">
        <v>235</v>
      </c>
      <c r="W14" s="489">
        <v>0</v>
      </c>
      <c r="X14" s="490">
        <v>0</v>
      </c>
      <c r="Y14" s="491" t="s">
        <v>30</v>
      </c>
      <c r="Z14" s="492">
        <f t="shared" si="0"/>
        <v>0</v>
      </c>
      <c r="AA14" s="467"/>
      <c r="AD14" s="126"/>
      <c r="AE14" s="156"/>
      <c r="AF14" s="160"/>
      <c r="AG14" s="123"/>
      <c r="AH14" s="123"/>
      <c r="AI14" s="123"/>
      <c r="AJ14" s="127"/>
      <c r="AK14" s="161"/>
      <c r="AL14" s="138"/>
      <c r="AM14" s="138"/>
      <c r="AN14" s="154"/>
    </row>
    <row r="15" spans="2:40" ht="17.5" customHeight="1" thickBot="1">
      <c r="B15" s="2"/>
      <c r="C15" s="413" t="s">
        <v>180</v>
      </c>
      <c r="D15" s="413"/>
      <c r="E15" s="9"/>
      <c r="F15" s="9"/>
      <c r="G15" s="9"/>
      <c r="H15" s="9"/>
      <c r="I15" s="9"/>
      <c r="J15" s="9"/>
      <c r="K15" s="9"/>
      <c r="L15" s="538" t="s">
        <v>179</v>
      </c>
      <c r="M15" s="538"/>
      <c r="N15" s="9"/>
      <c r="O15" s="110"/>
      <c r="P15" s="463"/>
      <c r="Q15" s="477"/>
      <c r="R15" s="477"/>
      <c r="S15" s="479" t="s">
        <v>43</v>
      </c>
      <c r="T15" s="494" t="s">
        <v>240</v>
      </c>
      <c r="U15" s="494"/>
      <c r="V15" s="488" t="s">
        <v>235</v>
      </c>
      <c r="W15" s="489">
        <v>0</v>
      </c>
      <c r="X15" s="490">
        <v>0</v>
      </c>
      <c r="Y15" s="491" t="s">
        <v>30</v>
      </c>
      <c r="Z15" s="492">
        <f t="shared" si="0"/>
        <v>0</v>
      </c>
      <c r="AA15" s="467"/>
      <c r="AD15" s="128"/>
      <c r="AE15" s="156"/>
      <c r="AF15" s="160"/>
      <c r="AG15" s="123"/>
      <c r="AH15" s="123"/>
      <c r="AI15" s="123"/>
      <c r="AJ15" s="127"/>
      <c r="AK15" s="129"/>
      <c r="AL15" s="138"/>
      <c r="AM15" s="130"/>
      <c r="AN15" s="131"/>
    </row>
    <row r="16" spans="2:40" ht="17.5" thickBot="1">
      <c r="B16" s="2"/>
      <c r="C16" s="294" t="s">
        <v>20</v>
      </c>
      <c r="D16" s="389"/>
      <c r="E16" s="414" t="s">
        <v>12</v>
      </c>
      <c r="F16" s="414"/>
      <c r="G16" s="415"/>
      <c r="H16" s="416" t="s">
        <v>185</v>
      </c>
      <c r="I16" s="414"/>
      <c r="J16" s="415"/>
      <c r="K16" s="416" t="s">
        <v>14</v>
      </c>
      <c r="L16" s="414"/>
      <c r="M16" s="417"/>
      <c r="N16" s="7"/>
      <c r="O16" s="110"/>
      <c r="P16" s="463"/>
      <c r="Q16" s="477"/>
      <c r="R16" s="477"/>
      <c r="S16" s="486" t="s">
        <v>47</v>
      </c>
      <c r="T16" s="494" t="s">
        <v>241</v>
      </c>
      <c r="U16" s="494"/>
      <c r="V16" s="488" t="s">
        <v>235</v>
      </c>
      <c r="W16" s="489">
        <v>0</v>
      </c>
      <c r="X16" s="490">
        <v>0</v>
      </c>
      <c r="Y16" s="491" t="s">
        <v>30</v>
      </c>
      <c r="Z16" s="492">
        <f t="shared" si="0"/>
        <v>0</v>
      </c>
      <c r="AA16" s="467"/>
      <c r="AD16" s="128"/>
      <c r="AE16" s="338">
        <v>0</v>
      </c>
      <c r="AF16" s="338"/>
      <c r="AG16" s="338"/>
      <c r="AH16" s="338"/>
      <c r="AI16" s="338"/>
      <c r="AJ16" s="338"/>
      <c r="AK16" s="338"/>
      <c r="AL16" s="338"/>
      <c r="AM16" s="338"/>
      <c r="AN16" s="124"/>
    </row>
    <row r="17" spans="2:40" ht="17.5" customHeight="1">
      <c r="B17" s="2"/>
      <c r="C17" s="390">
        <v>50000000</v>
      </c>
      <c r="D17" s="391"/>
      <c r="E17" s="392">
        <v>2.46</v>
      </c>
      <c r="F17" s="393"/>
      <c r="G17" s="393"/>
      <c r="H17" s="393">
        <v>2.2400000000000002</v>
      </c>
      <c r="I17" s="393"/>
      <c r="J17" s="393"/>
      <c r="K17" s="393">
        <v>2.02</v>
      </c>
      <c r="L17" s="393"/>
      <c r="M17" s="394"/>
      <c r="N17" s="450"/>
      <c r="O17" s="2"/>
      <c r="P17" s="459"/>
      <c r="Q17" s="477"/>
      <c r="R17" s="477"/>
      <c r="S17" s="479" t="s">
        <v>50</v>
      </c>
      <c r="T17" s="494" t="s">
        <v>242</v>
      </c>
      <c r="U17" s="494"/>
      <c r="V17" s="488" t="s">
        <v>235</v>
      </c>
      <c r="W17" s="489">
        <v>0</v>
      </c>
      <c r="X17" s="490">
        <v>0</v>
      </c>
      <c r="Y17" s="491" t="s">
        <v>30</v>
      </c>
      <c r="Z17" s="492">
        <f t="shared" si="0"/>
        <v>0</v>
      </c>
      <c r="AA17" s="467"/>
      <c r="AD17" s="128"/>
      <c r="AE17" s="150"/>
      <c r="AF17" s="173"/>
      <c r="AG17" s="123"/>
      <c r="AH17" s="123"/>
      <c r="AI17" s="132"/>
      <c r="AJ17" s="133"/>
      <c r="AK17" s="134"/>
      <c r="AL17" s="138"/>
      <c r="AM17" s="130"/>
      <c r="AN17" s="124"/>
    </row>
    <row r="18" spans="2:40" ht="17" customHeight="1">
      <c r="B18" s="2"/>
      <c r="C18" s="395">
        <v>100000000</v>
      </c>
      <c r="D18" s="396"/>
      <c r="E18" s="397">
        <v>2.3199999999999998</v>
      </c>
      <c r="F18" s="398"/>
      <c r="G18" s="398"/>
      <c r="H18" s="398">
        <v>2.11</v>
      </c>
      <c r="I18" s="398"/>
      <c r="J18" s="398"/>
      <c r="K18" s="398">
        <v>1.9</v>
      </c>
      <c r="L18" s="398"/>
      <c r="M18" s="399"/>
      <c r="N18" s="450"/>
      <c r="O18" s="2"/>
      <c r="P18" s="459"/>
      <c r="Q18" s="477"/>
      <c r="R18" s="477"/>
      <c r="S18" s="486" t="s">
        <v>53</v>
      </c>
      <c r="T18" s="494" t="s">
        <v>243</v>
      </c>
      <c r="U18" s="494"/>
      <c r="V18" s="488" t="s">
        <v>235</v>
      </c>
      <c r="W18" s="489">
        <v>0</v>
      </c>
      <c r="X18" s="490">
        <v>0</v>
      </c>
      <c r="Y18" s="491" t="s">
        <v>30</v>
      </c>
      <c r="Z18" s="492">
        <f t="shared" si="0"/>
        <v>0</v>
      </c>
      <c r="AA18" s="467"/>
      <c r="AD18" s="128"/>
      <c r="AE18" s="135"/>
      <c r="AF18" s="137"/>
      <c r="AG18" s="123"/>
      <c r="AH18" s="123"/>
      <c r="AI18" s="132"/>
      <c r="AJ18" s="133"/>
      <c r="AK18" s="134"/>
      <c r="AL18" s="138"/>
      <c r="AM18" s="130"/>
      <c r="AN18" s="124"/>
    </row>
    <row r="19" spans="2:40" ht="17" customHeight="1">
      <c r="B19" s="2"/>
      <c r="C19" s="395">
        <v>200000000</v>
      </c>
      <c r="D19" s="396"/>
      <c r="E19" s="397">
        <v>1.85</v>
      </c>
      <c r="F19" s="398"/>
      <c r="G19" s="398"/>
      <c r="H19" s="398">
        <v>1.68</v>
      </c>
      <c r="I19" s="398"/>
      <c r="J19" s="398"/>
      <c r="K19" s="398">
        <v>1.51</v>
      </c>
      <c r="L19" s="398"/>
      <c r="M19" s="399"/>
      <c r="N19" s="450"/>
      <c r="O19" s="2"/>
      <c r="P19" s="459"/>
      <c r="Q19" s="477"/>
      <c r="R19" s="477"/>
      <c r="S19" s="479" t="s">
        <v>57</v>
      </c>
      <c r="T19" s="494" t="s">
        <v>244</v>
      </c>
      <c r="U19" s="494"/>
      <c r="V19" s="488" t="s">
        <v>235</v>
      </c>
      <c r="W19" s="489">
        <v>0</v>
      </c>
      <c r="X19" s="490">
        <v>0</v>
      </c>
      <c r="Y19" s="491" t="s">
        <v>30</v>
      </c>
      <c r="Z19" s="492">
        <f t="shared" si="0"/>
        <v>0</v>
      </c>
      <c r="AA19" s="467"/>
      <c r="AD19" s="128"/>
      <c r="AE19" s="135"/>
      <c r="AF19" s="173"/>
      <c r="AG19" s="123"/>
      <c r="AH19" s="123">
        <v>2018</v>
      </c>
      <c r="AI19" s="170" t="s">
        <v>193</v>
      </c>
      <c r="AJ19" s="171">
        <v>12</v>
      </c>
      <c r="AK19" s="171" t="s">
        <v>194</v>
      </c>
      <c r="AL19" s="172">
        <v>15</v>
      </c>
      <c r="AM19" s="156" t="s">
        <v>195</v>
      </c>
      <c r="AN19" s="124"/>
    </row>
    <row r="20" spans="2:40" ht="17" customHeight="1">
      <c r="B20" s="2"/>
      <c r="C20" s="395">
        <v>300000000</v>
      </c>
      <c r="D20" s="400"/>
      <c r="E20" s="401">
        <v>1.7</v>
      </c>
      <c r="F20" s="402"/>
      <c r="G20" s="403"/>
      <c r="H20" s="404">
        <v>1.54</v>
      </c>
      <c r="I20" s="402"/>
      <c r="J20" s="403"/>
      <c r="K20" s="404">
        <v>1.39</v>
      </c>
      <c r="L20" s="402"/>
      <c r="M20" s="405"/>
      <c r="N20" s="450"/>
      <c r="O20" s="2"/>
      <c r="P20" s="459"/>
      <c r="Q20" s="477"/>
      <c r="R20" s="477"/>
      <c r="S20" s="486" t="s">
        <v>60</v>
      </c>
      <c r="T20" s="494" t="s">
        <v>245</v>
      </c>
      <c r="U20" s="494"/>
      <c r="V20" s="488" t="s">
        <v>235</v>
      </c>
      <c r="W20" s="489">
        <v>0</v>
      </c>
      <c r="X20" s="490">
        <v>0</v>
      </c>
      <c r="Y20" s="491" t="s">
        <v>30</v>
      </c>
      <c r="Z20" s="492">
        <f t="shared" si="0"/>
        <v>0</v>
      </c>
      <c r="AA20" s="467"/>
      <c r="AD20" s="128"/>
      <c r="AE20" s="135"/>
      <c r="AF20" s="137"/>
      <c r="AG20" s="123"/>
      <c r="AH20" s="123"/>
      <c r="AI20" s="132"/>
      <c r="AJ20" s="133"/>
      <c r="AK20" s="134"/>
      <c r="AL20" s="138"/>
      <c r="AM20" s="130"/>
      <c r="AN20" s="124"/>
    </row>
    <row r="21" spans="2:40" ht="17" customHeight="1">
      <c r="B21" s="2"/>
      <c r="C21" s="395">
        <v>500000000</v>
      </c>
      <c r="D21" s="400"/>
      <c r="E21" s="401">
        <v>1.57</v>
      </c>
      <c r="F21" s="402"/>
      <c r="G21" s="403"/>
      <c r="H21" s="404">
        <v>1.43</v>
      </c>
      <c r="I21" s="402"/>
      <c r="J21" s="403"/>
      <c r="K21" s="404">
        <v>1.29</v>
      </c>
      <c r="L21" s="402"/>
      <c r="M21" s="405"/>
      <c r="N21" s="450"/>
      <c r="O21" s="2"/>
      <c r="P21" s="459"/>
      <c r="Q21" s="477"/>
      <c r="R21" s="477"/>
      <c r="S21" s="479" t="s">
        <v>62</v>
      </c>
      <c r="T21" s="494" t="s">
        <v>246</v>
      </c>
      <c r="U21" s="494"/>
      <c r="V21" s="488" t="s">
        <v>235</v>
      </c>
      <c r="W21" s="489">
        <v>0</v>
      </c>
      <c r="X21" s="490">
        <v>0</v>
      </c>
      <c r="Y21" s="491" t="s">
        <v>30</v>
      </c>
      <c r="Z21" s="492">
        <f t="shared" si="0"/>
        <v>0</v>
      </c>
      <c r="AA21" s="467"/>
      <c r="AD21" s="128"/>
      <c r="AE21" s="135"/>
      <c r="AF21" s="173"/>
      <c r="AG21" s="121"/>
      <c r="AH21" s="121"/>
      <c r="AI21" s="132"/>
      <c r="AJ21" s="152"/>
      <c r="AK21" s="152"/>
      <c r="AL21" s="153"/>
      <c r="AM21" s="153"/>
      <c r="AN21" s="124"/>
    </row>
    <row r="22" spans="2:40" ht="17" customHeight="1">
      <c r="B22" s="2"/>
      <c r="C22" s="395">
        <v>1000000000</v>
      </c>
      <c r="D22" s="400"/>
      <c r="E22" s="401">
        <v>1.35</v>
      </c>
      <c r="F22" s="402"/>
      <c r="G22" s="403"/>
      <c r="H22" s="404">
        <v>1.23</v>
      </c>
      <c r="I22" s="402"/>
      <c r="J22" s="403"/>
      <c r="K22" s="404">
        <v>1.1100000000000001</v>
      </c>
      <c r="L22" s="402"/>
      <c r="M22" s="405"/>
      <c r="N22" s="450"/>
      <c r="O22" s="2"/>
      <c r="P22" s="459"/>
      <c r="Q22" s="477"/>
      <c r="R22" s="477"/>
      <c r="S22" s="486" t="s">
        <v>64</v>
      </c>
      <c r="T22" s="494" t="s">
        <v>247</v>
      </c>
      <c r="U22" s="494"/>
      <c r="V22" s="488" t="s">
        <v>235</v>
      </c>
      <c r="W22" s="489">
        <v>0</v>
      </c>
      <c r="X22" s="490">
        <v>0</v>
      </c>
      <c r="Y22" s="491" t="s">
        <v>30</v>
      </c>
      <c r="Z22" s="492">
        <f t="shared" si="0"/>
        <v>0</v>
      </c>
      <c r="AA22" s="467"/>
      <c r="AD22" s="128"/>
      <c r="AE22" s="135"/>
      <c r="AF22" s="137"/>
      <c r="AG22" s="341" t="s">
        <v>182</v>
      </c>
      <c r="AH22" s="341"/>
      <c r="AI22" s="341"/>
      <c r="AJ22" s="341"/>
      <c r="AK22" s="341"/>
      <c r="AL22" s="341"/>
      <c r="AM22" s="341"/>
      <c r="AN22" s="124"/>
    </row>
    <row r="23" spans="2:40" ht="17" customHeight="1">
      <c r="B23" s="2"/>
      <c r="C23" s="395">
        <v>2000000000</v>
      </c>
      <c r="D23" s="400"/>
      <c r="E23" s="401">
        <v>1.24</v>
      </c>
      <c r="F23" s="402"/>
      <c r="G23" s="403"/>
      <c r="H23" s="404">
        <v>1.1299999999999999</v>
      </c>
      <c r="I23" s="402"/>
      <c r="J23" s="403"/>
      <c r="K23" s="404">
        <v>1.02</v>
      </c>
      <c r="L23" s="402"/>
      <c r="M23" s="405"/>
      <c r="N23" s="450"/>
      <c r="O23" s="2"/>
      <c r="P23" s="459"/>
      <c r="Q23" s="477"/>
      <c r="R23" s="477"/>
      <c r="S23" s="479" t="s">
        <v>66</v>
      </c>
      <c r="T23" s="493" t="s">
        <v>248</v>
      </c>
      <c r="U23" s="493"/>
      <c r="V23" s="488" t="s">
        <v>235</v>
      </c>
      <c r="W23" s="489">
        <v>0</v>
      </c>
      <c r="X23" s="490">
        <v>0</v>
      </c>
      <c r="Y23" s="491" t="s">
        <v>30</v>
      </c>
      <c r="Z23" s="492">
        <f t="shared" si="0"/>
        <v>0</v>
      </c>
      <c r="AA23" s="467"/>
      <c r="AD23" s="128"/>
      <c r="AE23" s="135"/>
      <c r="AF23" s="173"/>
      <c r="AG23" s="340" t="s">
        <v>196</v>
      </c>
      <c r="AH23" s="340"/>
      <c r="AI23" s="340"/>
      <c r="AJ23" s="340"/>
      <c r="AK23" s="340"/>
      <c r="AL23" s="340"/>
      <c r="AM23" s="340"/>
      <c r="AN23" s="154"/>
    </row>
    <row r="24" spans="2:40" ht="17" customHeight="1">
      <c r="B24" s="2"/>
      <c r="C24" s="395">
        <v>3000000000</v>
      </c>
      <c r="D24" s="400"/>
      <c r="E24" s="401">
        <v>1.2</v>
      </c>
      <c r="F24" s="402"/>
      <c r="G24" s="403"/>
      <c r="H24" s="404">
        <v>1.0900000000000001</v>
      </c>
      <c r="I24" s="402"/>
      <c r="J24" s="403"/>
      <c r="K24" s="404">
        <v>0.98</v>
      </c>
      <c r="L24" s="402"/>
      <c r="M24" s="405"/>
      <c r="N24" s="450"/>
      <c r="O24" s="2"/>
      <c r="P24" s="459"/>
      <c r="Q24" s="477"/>
      <c r="R24" s="477"/>
      <c r="S24" s="486" t="s">
        <v>68</v>
      </c>
      <c r="T24" s="494" t="s">
        <v>249</v>
      </c>
      <c r="U24" s="494"/>
      <c r="V24" s="488" t="s">
        <v>250</v>
      </c>
      <c r="W24" s="489">
        <v>0</v>
      </c>
      <c r="X24" s="490">
        <v>0</v>
      </c>
      <c r="Y24" s="491" t="s">
        <v>251</v>
      </c>
      <c r="Z24" s="492">
        <f t="shared" si="0"/>
        <v>0</v>
      </c>
      <c r="AA24" s="467"/>
      <c r="AD24" s="128"/>
      <c r="AE24" s="135"/>
      <c r="AF24" s="137"/>
      <c r="AG24" s="121"/>
      <c r="AH24" s="121"/>
      <c r="AI24" s="375" t="s">
        <v>183</v>
      </c>
      <c r="AJ24" s="375"/>
      <c r="AK24" s="375"/>
      <c r="AL24" s="375"/>
      <c r="AM24" s="375"/>
      <c r="AN24" s="124"/>
    </row>
    <row r="25" spans="2:40" ht="17" customHeight="1">
      <c r="B25" s="2"/>
      <c r="C25" s="395">
        <v>5000000000</v>
      </c>
      <c r="D25" s="400"/>
      <c r="E25" s="401">
        <v>1.18</v>
      </c>
      <c r="F25" s="402"/>
      <c r="G25" s="403"/>
      <c r="H25" s="404">
        <v>1.07</v>
      </c>
      <c r="I25" s="402"/>
      <c r="J25" s="403"/>
      <c r="K25" s="404">
        <v>0.96</v>
      </c>
      <c r="L25" s="402"/>
      <c r="M25" s="405"/>
      <c r="N25" s="450"/>
      <c r="O25" s="2"/>
      <c r="P25" s="459"/>
      <c r="Q25" s="477"/>
      <c r="R25" s="477"/>
      <c r="S25" s="479" t="s">
        <v>70</v>
      </c>
      <c r="T25" s="493" t="s">
        <v>252</v>
      </c>
      <c r="U25" s="493"/>
      <c r="V25" s="488" t="s">
        <v>253</v>
      </c>
      <c r="W25" s="495">
        <f>AG10/8</f>
        <v>0</v>
      </c>
      <c r="X25" s="490">
        <v>0</v>
      </c>
      <c r="Y25" s="491" t="s">
        <v>98</v>
      </c>
      <c r="Z25" s="492">
        <f>W25*X25</f>
        <v>0</v>
      </c>
      <c r="AA25" s="467"/>
      <c r="AD25" s="128"/>
      <c r="AE25" s="135"/>
      <c r="AF25" s="173"/>
      <c r="AG25" s="121"/>
      <c r="AH25" s="152"/>
      <c r="AI25" s="152"/>
      <c r="AJ25" s="152"/>
      <c r="AK25" s="134"/>
      <c r="AL25" s="123"/>
      <c r="AM25" s="123"/>
      <c r="AN25" s="124"/>
    </row>
    <row r="26" spans="2:40" ht="17" customHeight="1">
      <c r="B26" s="2"/>
      <c r="C26" s="395">
        <v>10000000000</v>
      </c>
      <c r="D26" s="400"/>
      <c r="E26" s="401">
        <v>1.1399999999999999</v>
      </c>
      <c r="F26" s="402"/>
      <c r="G26" s="403"/>
      <c r="H26" s="404">
        <v>1.04</v>
      </c>
      <c r="I26" s="402"/>
      <c r="J26" s="403"/>
      <c r="K26" s="404">
        <v>0.94</v>
      </c>
      <c r="L26" s="402"/>
      <c r="M26" s="405"/>
      <c r="N26" s="450"/>
      <c r="O26" s="2"/>
      <c r="P26" s="459"/>
      <c r="Q26" s="477"/>
      <c r="R26" s="477"/>
      <c r="S26" s="486" t="s">
        <v>72</v>
      </c>
      <c r="T26" s="493" t="s">
        <v>254</v>
      </c>
      <c r="U26" s="493"/>
      <c r="V26" s="488" t="s">
        <v>255</v>
      </c>
      <c r="W26" s="489">
        <v>0</v>
      </c>
      <c r="X26" s="490">
        <v>0</v>
      </c>
      <c r="Y26" s="491" t="s">
        <v>98</v>
      </c>
      <c r="Z26" s="492">
        <f>W26*X26</f>
        <v>0</v>
      </c>
      <c r="AA26" s="467"/>
      <c r="AD26" s="128"/>
      <c r="AE26" s="135"/>
      <c r="AF26" s="135"/>
      <c r="AG26" s="135"/>
      <c r="AH26" s="135"/>
      <c r="AI26" s="135"/>
      <c r="AJ26" s="133"/>
      <c r="AK26" s="134"/>
      <c r="AL26" s="138"/>
      <c r="AM26" s="130"/>
      <c r="AN26" s="124"/>
    </row>
    <row r="27" spans="2:40" ht="17" customHeight="1">
      <c r="B27" s="2"/>
      <c r="C27" s="395">
        <v>20000000000</v>
      </c>
      <c r="D27" s="400"/>
      <c r="E27" s="401">
        <v>1.1100000000000001</v>
      </c>
      <c r="F27" s="402"/>
      <c r="G27" s="403"/>
      <c r="H27" s="404">
        <v>1.01</v>
      </c>
      <c r="I27" s="402"/>
      <c r="J27" s="403"/>
      <c r="K27" s="404">
        <v>0.91</v>
      </c>
      <c r="L27" s="402"/>
      <c r="M27" s="405"/>
      <c r="N27" s="450"/>
      <c r="O27" s="2"/>
      <c r="P27" s="459"/>
      <c r="Q27" s="477"/>
      <c r="R27" s="477"/>
      <c r="S27" s="479" t="s">
        <v>74</v>
      </c>
      <c r="T27" s="496" t="s">
        <v>256</v>
      </c>
      <c r="U27" s="496"/>
      <c r="V27" s="494" t="s">
        <v>108</v>
      </c>
      <c r="W27" s="489">
        <v>0</v>
      </c>
      <c r="X27" s="490">
        <v>0</v>
      </c>
      <c r="Y27" s="491" t="s">
        <v>109</v>
      </c>
      <c r="Z27" s="492">
        <f t="shared" ref="Z27:Z34" si="1">W27*X27</f>
        <v>0</v>
      </c>
      <c r="AA27" s="467"/>
      <c r="AD27" s="128"/>
      <c r="AE27" s="376" t="s">
        <v>184</v>
      </c>
      <c r="AF27" s="376"/>
      <c r="AG27" s="376"/>
      <c r="AH27" s="166"/>
      <c r="AI27" s="166"/>
      <c r="AJ27" s="133"/>
      <c r="AK27" s="134"/>
      <c r="AL27" s="138"/>
      <c r="AM27" s="130"/>
      <c r="AN27" s="124"/>
    </row>
    <row r="28" spans="2:40" ht="17" customHeight="1" thickBot="1">
      <c r="B28" s="2"/>
      <c r="C28" s="395">
        <v>30000000000</v>
      </c>
      <c r="D28" s="400"/>
      <c r="E28" s="401">
        <v>1.1000000000000001</v>
      </c>
      <c r="F28" s="402"/>
      <c r="G28" s="403"/>
      <c r="H28" s="404">
        <v>1</v>
      </c>
      <c r="I28" s="402"/>
      <c r="J28" s="403"/>
      <c r="K28" s="404">
        <v>0.9</v>
      </c>
      <c r="L28" s="402"/>
      <c r="M28" s="405"/>
      <c r="N28" s="450"/>
      <c r="O28" s="2"/>
      <c r="P28" s="459"/>
      <c r="Q28" s="477"/>
      <c r="R28" s="477"/>
      <c r="S28" s="486" t="s">
        <v>76</v>
      </c>
      <c r="T28" s="496" t="s">
        <v>122</v>
      </c>
      <c r="U28" s="496"/>
      <c r="V28" s="494" t="s">
        <v>257</v>
      </c>
      <c r="W28" s="489">
        <v>0</v>
      </c>
      <c r="X28" s="490">
        <v>0</v>
      </c>
      <c r="Y28" s="491" t="s">
        <v>124</v>
      </c>
      <c r="Z28" s="492">
        <f t="shared" si="1"/>
        <v>0</v>
      </c>
      <c r="AA28" s="467"/>
      <c r="AD28" s="139"/>
      <c r="AE28" s="140"/>
      <c r="AF28" s="141"/>
      <c r="AG28" s="162"/>
      <c r="AH28" s="142"/>
      <c r="AI28" s="143"/>
      <c r="AJ28" s="144"/>
      <c r="AK28" s="145"/>
      <c r="AL28" s="146"/>
      <c r="AM28" s="147"/>
      <c r="AN28" s="148"/>
    </row>
    <row r="29" spans="2:40" ht="17" customHeight="1">
      <c r="B29" s="2"/>
      <c r="C29" s="395">
        <v>50000000000</v>
      </c>
      <c r="D29" s="400"/>
      <c r="E29" s="401">
        <v>1.08</v>
      </c>
      <c r="F29" s="402"/>
      <c r="G29" s="403"/>
      <c r="H29" s="404">
        <v>0.98</v>
      </c>
      <c r="I29" s="402"/>
      <c r="J29" s="403"/>
      <c r="K29" s="404">
        <v>0.88</v>
      </c>
      <c r="L29" s="402"/>
      <c r="M29" s="405"/>
      <c r="N29" s="450"/>
      <c r="O29" s="2"/>
      <c r="P29" s="459"/>
      <c r="Q29" s="477"/>
      <c r="R29" s="477"/>
      <c r="S29" s="479" t="s">
        <v>78</v>
      </c>
      <c r="T29" s="496" t="s">
        <v>127</v>
      </c>
      <c r="U29" s="496"/>
      <c r="V29" s="494" t="s">
        <v>257</v>
      </c>
      <c r="W29" s="489">
        <v>0</v>
      </c>
      <c r="X29" s="490">
        <v>0</v>
      </c>
      <c r="Y29" s="491" t="s">
        <v>124</v>
      </c>
      <c r="Z29" s="492">
        <f t="shared" si="1"/>
        <v>0</v>
      </c>
      <c r="AA29" s="467"/>
    </row>
    <row r="30" spans="2:40" ht="17" customHeight="1">
      <c r="B30" s="2"/>
      <c r="C30" s="395">
        <v>100000000000</v>
      </c>
      <c r="D30" s="400"/>
      <c r="E30" s="401">
        <v>1.07</v>
      </c>
      <c r="F30" s="402"/>
      <c r="G30" s="403"/>
      <c r="H30" s="404">
        <v>0.97</v>
      </c>
      <c r="I30" s="402"/>
      <c r="J30" s="403"/>
      <c r="K30" s="404">
        <v>0.87</v>
      </c>
      <c r="L30" s="402"/>
      <c r="M30" s="405"/>
      <c r="N30" s="450"/>
      <c r="O30" s="2"/>
      <c r="P30" s="459"/>
      <c r="Q30" s="477"/>
      <c r="R30" s="477"/>
      <c r="S30" s="486" t="s">
        <v>80</v>
      </c>
      <c r="T30" s="493" t="s">
        <v>130</v>
      </c>
      <c r="U30" s="493"/>
      <c r="V30" s="494" t="s">
        <v>257</v>
      </c>
      <c r="W30" s="489">
        <v>0</v>
      </c>
      <c r="X30" s="490">
        <v>0</v>
      </c>
      <c r="Y30" s="491" t="s">
        <v>124</v>
      </c>
      <c r="Z30" s="492">
        <f t="shared" si="1"/>
        <v>0</v>
      </c>
      <c r="AA30" s="467"/>
    </row>
    <row r="31" spans="2:40" ht="17" customHeight="1">
      <c r="B31" s="2"/>
      <c r="C31" s="395">
        <v>200000000000</v>
      </c>
      <c r="D31" s="400"/>
      <c r="E31" s="401">
        <v>1.05</v>
      </c>
      <c r="F31" s="402"/>
      <c r="G31" s="403"/>
      <c r="H31" s="404">
        <v>0.95</v>
      </c>
      <c r="I31" s="402"/>
      <c r="J31" s="403"/>
      <c r="K31" s="404">
        <v>0.86</v>
      </c>
      <c r="L31" s="402"/>
      <c r="M31" s="405"/>
      <c r="N31" s="450"/>
      <c r="O31" s="2"/>
      <c r="P31" s="459"/>
      <c r="Q31" s="477"/>
      <c r="R31" s="477"/>
      <c r="S31" s="479" t="s">
        <v>82</v>
      </c>
      <c r="T31" s="493" t="s">
        <v>258</v>
      </c>
      <c r="U31" s="493"/>
      <c r="V31" s="488" t="s">
        <v>259</v>
      </c>
      <c r="W31" s="489">
        <v>0</v>
      </c>
      <c r="X31" s="490">
        <v>0</v>
      </c>
      <c r="Y31" s="491" t="s">
        <v>260</v>
      </c>
      <c r="Z31" s="492">
        <f t="shared" si="1"/>
        <v>0</v>
      </c>
      <c r="AA31" s="467"/>
    </row>
    <row r="32" spans="2:40" ht="17" customHeight="1">
      <c r="B32" s="2"/>
      <c r="C32" s="395">
        <v>300000000000</v>
      </c>
      <c r="D32" s="400"/>
      <c r="E32" s="401">
        <v>1.03</v>
      </c>
      <c r="F32" s="402"/>
      <c r="G32" s="403"/>
      <c r="H32" s="404">
        <v>0.94</v>
      </c>
      <c r="I32" s="402"/>
      <c r="J32" s="403"/>
      <c r="K32" s="404">
        <v>0.85</v>
      </c>
      <c r="L32" s="402"/>
      <c r="M32" s="405"/>
      <c r="N32" s="450"/>
      <c r="O32" s="2"/>
      <c r="P32" s="459"/>
      <c r="Q32" s="477"/>
      <c r="R32" s="477"/>
      <c r="S32" s="486" t="s">
        <v>84</v>
      </c>
      <c r="T32" s="493" t="s">
        <v>133</v>
      </c>
      <c r="U32" s="493"/>
      <c r="V32" s="488" t="s">
        <v>123</v>
      </c>
      <c r="W32" s="489">
        <v>0</v>
      </c>
      <c r="X32" s="490">
        <v>0</v>
      </c>
      <c r="Y32" s="491" t="s">
        <v>124</v>
      </c>
      <c r="Z32" s="492">
        <f t="shared" si="1"/>
        <v>0</v>
      </c>
      <c r="AA32" s="467"/>
    </row>
    <row r="33" spans="2:27" ht="17" customHeight="1" thickBot="1">
      <c r="B33" s="2"/>
      <c r="C33" s="406">
        <v>500000000000</v>
      </c>
      <c r="D33" s="407"/>
      <c r="E33" s="408">
        <v>1.02</v>
      </c>
      <c r="F33" s="409"/>
      <c r="G33" s="410"/>
      <c r="H33" s="411">
        <v>0.93</v>
      </c>
      <c r="I33" s="409"/>
      <c r="J33" s="410"/>
      <c r="K33" s="411">
        <v>0.84</v>
      </c>
      <c r="L33" s="409"/>
      <c r="M33" s="412"/>
      <c r="N33" s="450"/>
      <c r="O33" s="2"/>
      <c r="P33" s="459"/>
      <c r="Q33" s="477"/>
      <c r="R33" s="477"/>
      <c r="S33" s="479" t="s">
        <v>86</v>
      </c>
      <c r="T33" s="493" t="s">
        <v>136</v>
      </c>
      <c r="U33" s="493"/>
      <c r="V33" s="488" t="s">
        <v>123</v>
      </c>
      <c r="W33" s="489">
        <v>0</v>
      </c>
      <c r="X33" s="490">
        <v>0</v>
      </c>
      <c r="Y33" s="491" t="s">
        <v>124</v>
      </c>
      <c r="Z33" s="492">
        <f t="shared" si="1"/>
        <v>0</v>
      </c>
      <c r="AA33" s="467"/>
    </row>
    <row r="34" spans="2:27" ht="17.5" customHeight="1" thickBot="1">
      <c r="B34" s="2"/>
      <c r="C34" s="59"/>
      <c r="D34" s="59"/>
      <c r="E34" s="7"/>
      <c r="F34" s="7"/>
      <c r="G34" s="7"/>
      <c r="H34" s="7"/>
      <c r="I34" s="7"/>
      <c r="J34" s="7"/>
      <c r="K34" s="7"/>
      <c r="L34" s="7"/>
      <c r="M34" s="7"/>
      <c r="N34" s="7"/>
      <c r="O34" s="108"/>
      <c r="P34" s="459"/>
      <c r="Q34" s="477"/>
      <c r="R34" s="527"/>
      <c r="S34" s="534" t="s">
        <v>88</v>
      </c>
      <c r="T34" s="535" t="s">
        <v>140</v>
      </c>
      <c r="U34" s="535"/>
      <c r="V34" s="536" t="s">
        <v>123</v>
      </c>
      <c r="W34" s="510">
        <v>0</v>
      </c>
      <c r="X34" s="518">
        <v>0</v>
      </c>
      <c r="Y34" s="508" t="s">
        <v>124</v>
      </c>
      <c r="Z34" s="537">
        <f t="shared" si="1"/>
        <v>0</v>
      </c>
      <c r="AA34" s="466"/>
    </row>
    <row r="35" spans="2:27" ht="17" customHeight="1" thickBot="1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108"/>
      <c r="O35" s="108"/>
      <c r="P35" s="459"/>
      <c r="Q35" s="527"/>
      <c r="R35" s="327" t="s">
        <v>105</v>
      </c>
      <c r="S35" s="327"/>
      <c r="T35" s="532" t="s">
        <v>261</v>
      </c>
      <c r="U35" s="532"/>
      <c r="V35" s="75" t="s">
        <v>138</v>
      </c>
      <c r="W35" s="75" t="s">
        <v>138</v>
      </c>
      <c r="X35" s="77" t="s">
        <v>138</v>
      </c>
      <c r="Y35" s="90" t="s">
        <v>262</v>
      </c>
      <c r="Z35" s="222">
        <f>SUM(Z10:Z34)</f>
        <v>0</v>
      </c>
      <c r="AA35" s="466"/>
    </row>
    <row r="36" spans="2:27" ht="17" customHeight="1" thickBot="1">
      <c r="B36" s="2"/>
      <c r="C36" s="279" t="s">
        <v>223</v>
      </c>
      <c r="D36" s="279"/>
      <c r="E36" s="279"/>
      <c r="F36" s="279"/>
      <c r="G36" s="236"/>
      <c r="H36" s="236"/>
      <c r="I36" s="6"/>
      <c r="J36" s="6"/>
      <c r="K36" s="6"/>
      <c r="L36" s="6"/>
      <c r="M36" s="6"/>
      <c r="N36" s="6"/>
      <c r="O36" s="108"/>
      <c r="P36" s="459"/>
      <c r="Q36" s="327" t="s">
        <v>144</v>
      </c>
      <c r="R36" s="327"/>
      <c r="S36" s="90" t="s">
        <v>145</v>
      </c>
      <c r="T36" s="532" t="s">
        <v>262</v>
      </c>
      <c r="U36" s="532"/>
      <c r="V36" s="533" t="s">
        <v>146</v>
      </c>
      <c r="W36" s="75" t="s">
        <v>262</v>
      </c>
      <c r="X36" s="77" t="s">
        <v>262</v>
      </c>
      <c r="Y36" s="90" t="s">
        <v>262</v>
      </c>
      <c r="Z36" s="222">
        <f>Z9+Z35</f>
        <v>35047577</v>
      </c>
      <c r="AA36" s="466"/>
    </row>
    <row r="37" spans="2:27" ht="17" customHeight="1">
      <c r="B37" s="236"/>
      <c r="C37" s="279"/>
      <c r="D37" s="279"/>
      <c r="E37" s="279"/>
      <c r="F37" s="279"/>
      <c r="G37" s="430"/>
      <c r="H37" s="4"/>
      <c r="I37" s="6"/>
      <c r="J37" s="6"/>
      <c r="K37" s="6"/>
      <c r="L37" s="6"/>
      <c r="M37" s="6"/>
      <c r="N37" s="6"/>
      <c r="O37" s="6"/>
      <c r="P37" s="468"/>
      <c r="Q37" s="528" t="s">
        <v>150</v>
      </c>
      <c r="R37" s="528"/>
      <c r="S37" s="521" t="s">
        <v>148</v>
      </c>
      <c r="T37" s="529" t="s">
        <v>262</v>
      </c>
      <c r="U37" s="529"/>
      <c r="V37" s="530" t="s">
        <v>152</v>
      </c>
      <c r="W37" s="524">
        <f>Z9</f>
        <v>35047577</v>
      </c>
      <c r="X37" s="525">
        <v>0</v>
      </c>
      <c r="Y37" s="521" t="s">
        <v>19</v>
      </c>
      <c r="Z37" s="531">
        <f>W37*X37/100</f>
        <v>0</v>
      </c>
      <c r="AA37" s="466"/>
    </row>
    <row r="38" spans="2:27" ht="17" customHeight="1" thickBot="1">
      <c r="B38" s="210"/>
      <c r="C38" s="12"/>
      <c r="D38" s="2"/>
      <c r="E38" s="2"/>
      <c r="F38" s="2"/>
      <c r="G38" s="2"/>
      <c r="H38" s="2"/>
      <c r="I38" s="6"/>
      <c r="J38" s="6"/>
      <c r="K38" s="6"/>
      <c r="L38" s="6"/>
      <c r="M38" s="6"/>
      <c r="N38" s="6"/>
      <c r="O38" s="6"/>
      <c r="P38" s="468"/>
      <c r="Q38" s="503" t="s">
        <v>263</v>
      </c>
      <c r="R38" s="503"/>
      <c r="S38" s="508" t="s">
        <v>151</v>
      </c>
      <c r="T38" s="516" t="s">
        <v>262</v>
      </c>
      <c r="U38" s="516"/>
      <c r="V38" s="517" t="s">
        <v>155</v>
      </c>
      <c r="W38" s="510">
        <f>Z9+Z37</f>
        <v>35047577</v>
      </c>
      <c r="X38" s="518">
        <v>0</v>
      </c>
      <c r="Y38" s="508" t="s">
        <v>19</v>
      </c>
      <c r="Z38" s="519">
        <f>W38*X38/100</f>
        <v>0</v>
      </c>
      <c r="AA38" s="466"/>
    </row>
    <row r="39" spans="2:27" ht="17" customHeight="1" thickBot="1">
      <c r="B39" s="2"/>
      <c r="C39" s="113"/>
      <c r="D39" s="113"/>
      <c r="E39" s="113"/>
      <c r="F39" s="113"/>
      <c r="G39" s="113"/>
      <c r="H39" s="108"/>
      <c r="I39" s="6"/>
      <c r="J39" s="6"/>
      <c r="K39" s="6"/>
      <c r="L39" s="6"/>
      <c r="M39" s="6"/>
      <c r="N39" s="6"/>
      <c r="O39" s="6"/>
      <c r="P39" s="468"/>
      <c r="Q39" s="327" t="s">
        <v>264</v>
      </c>
      <c r="R39" s="327"/>
      <c r="S39" s="443"/>
      <c r="T39" s="327" t="s">
        <v>265</v>
      </c>
      <c r="U39" s="327"/>
      <c r="V39" s="90" t="s">
        <v>262</v>
      </c>
      <c r="W39" s="91" t="s">
        <v>262</v>
      </c>
      <c r="X39" s="77" t="s">
        <v>262</v>
      </c>
      <c r="Y39" s="75" t="s">
        <v>262</v>
      </c>
      <c r="Z39" s="226">
        <f>SUM(Z36:Z38)</f>
        <v>35047577</v>
      </c>
      <c r="AA39" s="466"/>
    </row>
    <row r="40" spans="2:27" ht="25.5" customHeight="1">
      <c r="B40" s="2"/>
      <c r="C40" s="303" t="s">
        <v>225</v>
      </c>
      <c r="D40" s="304"/>
      <c r="E40" s="299">
        <f>J52</f>
        <v>35047577</v>
      </c>
      <c r="F40" s="299"/>
      <c r="G40" s="299"/>
      <c r="H40" s="300"/>
      <c r="I40" s="6"/>
      <c r="J40" s="6"/>
      <c r="K40" s="6"/>
      <c r="L40" s="6"/>
      <c r="M40" s="6"/>
      <c r="N40" s="6"/>
      <c r="O40" s="6"/>
      <c r="P40" s="468"/>
      <c r="Q40" s="520" t="s">
        <v>266</v>
      </c>
      <c r="R40" s="520"/>
      <c r="S40" s="521" t="s">
        <v>154</v>
      </c>
      <c r="T40" s="522" t="s">
        <v>160</v>
      </c>
      <c r="U40" s="522"/>
      <c r="V40" s="523" t="s">
        <v>267</v>
      </c>
      <c r="W40" s="524">
        <f>Z39</f>
        <v>35047577</v>
      </c>
      <c r="X40" s="525">
        <v>0</v>
      </c>
      <c r="Y40" s="521" t="s">
        <v>19</v>
      </c>
      <c r="Z40" s="526">
        <f>W40*X40/100</f>
        <v>0</v>
      </c>
      <c r="AA40" s="466"/>
    </row>
    <row r="41" spans="2:27" ht="17" customHeight="1" thickBot="1">
      <c r="B41" s="2"/>
      <c r="C41" s="305"/>
      <c r="D41" s="306"/>
      <c r="E41" s="301"/>
      <c r="F41" s="301"/>
      <c r="G41" s="301"/>
      <c r="H41" s="302"/>
      <c r="I41" s="6"/>
      <c r="J41" s="6"/>
      <c r="K41" s="6"/>
      <c r="L41" s="6"/>
      <c r="M41" s="6"/>
      <c r="N41" s="6"/>
      <c r="O41" s="6"/>
      <c r="P41" s="468"/>
      <c r="Q41" s="498"/>
      <c r="R41" s="498"/>
      <c r="S41" s="491" t="s">
        <v>159</v>
      </c>
      <c r="T41" s="501" t="s">
        <v>268</v>
      </c>
      <c r="U41" s="501"/>
      <c r="V41" s="502" t="s">
        <v>269</v>
      </c>
      <c r="W41" s="489">
        <f>Z39</f>
        <v>35047577</v>
      </c>
      <c r="X41" s="490">
        <v>0</v>
      </c>
      <c r="Y41" s="491" t="s">
        <v>19</v>
      </c>
      <c r="Z41" s="497">
        <f t="shared" ref="Z41:Z42" si="2">W41*X41/100</f>
        <v>0</v>
      </c>
      <c r="AA41" s="466"/>
    </row>
    <row r="42" spans="2:27" ht="17" customHeight="1" thickBot="1">
      <c r="B42" s="2"/>
      <c r="C42" s="2"/>
      <c r="D42" s="2"/>
      <c r="E42" s="2"/>
      <c r="F42" s="2"/>
      <c r="G42" s="2"/>
      <c r="H42" s="2"/>
      <c r="I42" s="151"/>
      <c r="J42" s="431" t="s">
        <v>227</v>
      </c>
      <c r="K42" s="431"/>
      <c r="L42" s="431"/>
      <c r="M42" s="431"/>
      <c r="N42" s="17"/>
      <c r="O42" s="6"/>
      <c r="P42" s="468"/>
      <c r="Q42" s="498"/>
      <c r="R42" s="498"/>
      <c r="S42" s="491" t="s">
        <v>162</v>
      </c>
      <c r="T42" s="499" t="s">
        <v>166</v>
      </c>
      <c r="U42" s="499"/>
      <c r="V42" s="500" t="s">
        <v>270</v>
      </c>
      <c r="W42" s="489">
        <f>Z39</f>
        <v>35047577</v>
      </c>
      <c r="X42" s="490">
        <v>0</v>
      </c>
      <c r="Y42" s="491" t="s">
        <v>19</v>
      </c>
      <c r="Z42" s="497">
        <f t="shared" si="2"/>
        <v>0</v>
      </c>
      <c r="AA42" s="466"/>
    </row>
    <row r="43" spans="2:27" ht="17" customHeight="1" thickBot="1">
      <c r="B43" s="2"/>
      <c r="C43" s="35" t="s">
        <v>3</v>
      </c>
      <c r="D43" s="296" t="s">
        <v>103</v>
      </c>
      <c r="E43" s="381"/>
      <c r="F43" s="381"/>
      <c r="G43" s="432" t="s">
        <v>104</v>
      </c>
      <c r="H43" s="294" t="s">
        <v>199</v>
      </c>
      <c r="I43" s="296"/>
      <c r="J43" s="359" t="s">
        <v>201</v>
      </c>
      <c r="K43" s="295"/>
      <c r="L43" s="296"/>
      <c r="M43" s="64" t="s">
        <v>228</v>
      </c>
      <c r="N43" s="112"/>
      <c r="O43" s="6"/>
      <c r="P43" s="468"/>
      <c r="Q43" s="507"/>
      <c r="R43" s="507"/>
      <c r="S43" s="508" t="s">
        <v>165</v>
      </c>
      <c r="T43" s="509" t="s">
        <v>169</v>
      </c>
      <c r="U43" s="509"/>
      <c r="V43" s="504" t="s">
        <v>271</v>
      </c>
      <c r="W43" s="510">
        <v>0</v>
      </c>
      <c r="X43" s="511">
        <v>0</v>
      </c>
      <c r="Y43" s="508" t="s">
        <v>30</v>
      </c>
      <c r="Z43" s="512">
        <f>W43*X43</f>
        <v>0</v>
      </c>
      <c r="AA43" s="466"/>
    </row>
    <row r="44" spans="2:27" ht="17" customHeight="1" thickBot="1">
      <c r="B44" s="2"/>
      <c r="C44" s="65" t="s">
        <v>110</v>
      </c>
      <c r="D44" s="387">
        <v>363289</v>
      </c>
      <c r="E44" s="388"/>
      <c r="F44" s="388"/>
      <c r="G44" s="434">
        <v>1</v>
      </c>
      <c r="H44" s="435">
        <v>1</v>
      </c>
      <c r="I44" s="436"/>
      <c r="J44" s="433">
        <f>D44*G44*H44</f>
        <v>363289</v>
      </c>
      <c r="K44" s="433"/>
      <c r="L44" s="433"/>
      <c r="M44" s="66"/>
      <c r="N44" s="110"/>
      <c r="O44" s="6"/>
      <c r="P44" s="468"/>
      <c r="Q44" s="444" t="s">
        <v>272</v>
      </c>
      <c r="R44" s="444"/>
      <c r="S44" s="444"/>
      <c r="T44" s="444" t="s">
        <v>273</v>
      </c>
      <c r="U44" s="444"/>
      <c r="V44" s="513" t="s">
        <v>274</v>
      </c>
      <c r="W44" s="514" t="s">
        <v>262</v>
      </c>
      <c r="X44" s="515" t="s">
        <v>262</v>
      </c>
      <c r="Y44" s="515" t="s">
        <v>262</v>
      </c>
      <c r="Z44" s="445">
        <f>SUM(Z39:Z43)</f>
        <v>35047577</v>
      </c>
      <c r="AA44" s="466"/>
    </row>
    <row r="45" spans="2:27" ht="17.5" customHeight="1" thickBot="1">
      <c r="B45" s="2"/>
      <c r="C45" s="67" t="s">
        <v>114</v>
      </c>
      <c r="D45" s="382">
        <v>276720</v>
      </c>
      <c r="E45" s="383"/>
      <c r="F45" s="383"/>
      <c r="G45" s="437">
        <v>2</v>
      </c>
      <c r="H45" s="438">
        <v>2</v>
      </c>
      <c r="I45" s="439"/>
      <c r="J45" s="433">
        <f t="shared" ref="J45:J51" si="3">D45*G45*H45</f>
        <v>1106880</v>
      </c>
      <c r="K45" s="433"/>
      <c r="L45" s="433"/>
      <c r="M45" s="66"/>
      <c r="N45" s="110"/>
      <c r="O45" s="6"/>
      <c r="P45" s="468"/>
      <c r="Q45" s="446" t="s">
        <v>275</v>
      </c>
      <c r="R45" s="446"/>
      <c r="S45" s="446"/>
      <c r="T45" s="446" t="s">
        <v>276</v>
      </c>
      <c r="U45" s="446"/>
      <c r="V45" s="447" t="s">
        <v>176</v>
      </c>
      <c r="W45" s="448" t="s">
        <v>262</v>
      </c>
      <c r="X45" s="449" t="s">
        <v>262</v>
      </c>
      <c r="Y45" s="505" t="s">
        <v>262</v>
      </c>
      <c r="Z45" s="506">
        <f>Z44*1.1</f>
        <v>38552334.700000003</v>
      </c>
      <c r="AA45" s="469"/>
    </row>
    <row r="46" spans="2:27" ht="17.5" customHeight="1">
      <c r="B46" s="2"/>
      <c r="C46" s="67" t="s">
        <v>117</v>
      </c>
      <c r="D46" s="382">
        <v>224307</v>
      </c>
      <c r="E46" s="383"/>
      <c r="F46" s="383"/>
      <c r="G46" s="437">
        <v>3</v>
      </c>
      <c r="H46" s="438">
        <v>3</v>
      </c>
      <c r="I46" s="439"/>
      <c r="J46" s="433">
        <f t="shared" si="3"/>
        <v>2018763</v>
      </c>
      <c r="K46" s="433"/>
      <c r="L46" s="433"/>
      <c r="M46" s="66"/>
      <c r="N46" s="110"/>
      <c r="O46" s="6"/>
      <c r="P46" s="470"/>
      <c r="Q46" s="471"/>
      <c r="R46" s="471"/>
      <c r="S46" s="471"/>
      <c r="T46" s="471"/>
      <c r="U46" s="471"/>
      <c r="V46" s="471"/>
      <c r="W46" s="471"/>
      <c r="X46" s="471"/>
      <c r="Y46" s="471"/>
      <c r="Z46" s="471"/>
      <c r="AA46" s="472"/>
    </row>
    <row r="47" spans="2:27" ht="17" customHeight="1">
      <c r="B47" s="2"/>
      <c r="C47" s="67" t="s">
        <v>120</v>
      </c>
      <c r="D47" s="382">
        <v>198567</v>
      </c>
      <c r="E47" s="383"/>
      <c r="F47" s="383"/>
      <c r="G47" s="437">
        <v>4</v>
      </c>
      <c r="H47" s="438">
        <v>4</v>
      </c>
      <c r="I47" s="439"/>
      <c r="J47" s="433">
        <f t="shared" si="3"/>
        <v>3177072</v>
      </c>
      <c r="K47" s="433"/>
      <c r="L47" s="433"/>
      <c r="M47" s="66"/>
      <c r="N47" s="110"/>
      <c r="O47" s="6"/>
      <c r="P47" s="6"/>
      <c r="Q47" s="6"/>
      <c r="R47" s="6"/>
      <c r="AA47" s="453"/>
    </row>
    <row r="48" spans="2:27" ht="17" customHeight="1">
      <c r="B48" s="2"/>
      <c r="C48" s="67" t="s">
        <v>125</v>
      </c>
      <c r="D48" s="382">
        <v>156448</v>
      </c>
      <c r="E48" s="383"/>
      <c r="F48" s="383"/>
      <c r="G48" s="437">
        <v>5</v>
      </c>
      <c r="H48" s="438">
        <v>5</v>
      </c>
      <c r="I48" s="439"/>
      <c r="J48" s="433">
        <f t="shared" si="3"/>
        <v>3911200</v>
      </c>
      <c r="K48" s="433"/>
      <c r="L48" s="433"/>
      <c r="M48" s="66"/>
      <c r="N48" s="110"/>
      <c r="O48" s="6"/>
      <c r="P48" s="6"/>
      <c r="Q48" s="6"/>
      <c r="R48" s="6"/>
    </row>
    <row r="49" spans="2:18" ht="17" customHeight="1">
      <c r="B49" s="2"/>
      <c r="C49" s="67" t="s">
        <v>128</v>
      </c>
      <c r="D49" s="382">
        <v>196898</v>
      </c>
      <c r="E49" s="383"/>
      <c r="F49" s="383"/>
      <c r="G49" s="437">
        <v>6</v>
      </c>
      <c r="H49" s="438">
        <v>6</v>
      </c>
      <c r="I49" s="439"/>
      <c r="J49" s="433">
        <f t="shared" si="3"/>
        <v>7088328</v>
      </c>
      <c r="K49" s="433"/>
      <c r="L49" s="433"/>
      <c r="M49" s="66"/>
      <c r="N49" s="110"/>
      <c r="O49" s="6"/>
      <c r="P49" s="6"/>
      <c r="Q49" s="6"/>
      <c r="R49" s="6"/>
    </row>
    <row r="50" spans="2:18" ht="17" customHeight="1">
      <c r="B50" s="2"/>
      <c r="C50" s="67" t="s">
        <v>131</v>
      </c>
      <c r="D50" s="382">
        <v>162349</v>
      </c>
      <c r="E50" s="383"/>
      <c r="F50" s="383"/>
      <c r="G50" s="437">
        <v>7</v>
      </c>
      <c r="H50" s="438">
        <v>7</v>
      </c>
      <c r="I50" s="439"/>
      <c r="J50" s="433">
        <f t="shared" si="3"/>
        <v>7955101</v>
      </c>
      <c r="K50" s="433"/>
      <c r="L50" s="433"/>
      <c r="M50" s="66"/>
      <c r="N50" s="110"/>
      <c r="O50" s="6"/>
      <c r="P50" s="6"/>
      <c r="Q50" s="6"/>
      <c r="R50" s="6"/>
    </row>
    <row r="51" spans="2:18" ht="17" customHeight="1" thickBot="1">
      <c r="B51" s="2"/>
      <c r="C51" s="68" t="s">
        <v>134</v>
      </c>
      <c r="D51" s="384">
        <v>147296</v>
      </c>
      <c r="E51" s="385"/>
      <c r="F51" s="385"/>
      <c r="G51" s="437">
        <v>8</v>
      </c>
      <c r="H51" s="438">
        <v>8</v>
      </c>
      <c r="I51" s="439"/>
      <c r="J51" s="433">
        <f t="shared" si="3"/>
        <v>9426944</v>
      </c>
      <c r="K51" s="433"/>
      <c r="L51" s="433"/>
      <c r="M51" s="66"/>
      <c r="N51" s="110"/>
      <c r="O51" s="6"/>
      <c r="P51" s="6"/>
      <c r="Q51" s="6"/>
      <c r="R51" s="6"/>
    </row>
    <row r="52" spans="2:18" ht="17" customHeight="1" thickBot="1">
      <c r="B52" s="2"/>
      <c r="C52" s="35" t="s">
        <v>137</v>
      </c>
      <c r="D52" s="296" t="s">
        <v>138</v>
      </c>
      <c r="E52" s="381"/>
      <c r="F52" s="381"/>
      <c r="G52" s="440" t="s">
        <v>138</v>
      </c>
      <c r="H52" s="441" t="s">
        <v>229</v>
      </c>
      <c r="I52" s="442"/>
      <c r="J52" s="354">
        <f>SUM(J44:L51)</f>
        <v>35047577</v>
      </c>
      <c r="K52" s="355"/>
      <c r="L52" s="356"/>
      <c r="M52" s="69"/>
      <c r="N52" s="110"/>
      <c r="O52" s="6"/>
      <c r="P52" s="6"/>
      <c r="Q52" s="6"/>
      <c r="R52" s="6"/>
    </row>
    <row r="53" spans="2:18" ht="17" customHeight="1">
      <c r="B53" s="2"/>
      <c r="C53" s="2"/>
      <c r="D53" s="2"/>
      <c r="E53" s="2"/>
      <c r="F53" s="2"/>
      <c r="G53" s="2"/>
      <c r="H53" s="2"/>
      <c r="I53" s="215"/>
      <c r="J53" s="6"/>
      <c r="K53" s="6"/>
      <c r="L53" s="6"/>
      <c r="M53" s="6"/>
      <c r="N53" s="6"/>
      <c r="O53" s="6"/>
      <c r="P53" s="6"/>
      <c r="Q53" s="6"/>
      <c r="R53" s="6"/>
    </row>
    <row r="54" spans="2:18" ht="17.5" customHeight="1">
      <c r="B54" s="2"/>
      <c r="C54" s="372" t="s">
        <v>178</v>
      </c>
      <c r="D54" s="372"/>
      <c r="E54" s="372"/>
      <c r="F54" s="372"/>
      <c r="G54" s="2"/>
      <c r="H54" s="2"/>
      <c r="I54" s="6"/>
      <c r="J54" s="6"/>
      <c r="K54" s="6"/>
      <c r="L54" s="6"/>
      <c r="M54" s="6"/>
      <c r="N54" s="6"/>
      <c r="O54" s="6"/>
      <c r="P54" s="6"/>
      <c r="Q54" s="6"/>
      <c r="R54" s="6"/>
    </row>
    <row r="55" spans="2:18" ht="17.5" customHeight="1">
      <c r="B55" s="2"/>
      <c r="C55" s="2"/>
      <c r="D55" s="2"/>
      <c r="E55" s="2"/>
      <c r="F55" s="2"/>
      <c r="G55" s="2"/>
      <c r="H55" s="2"/>
      <c r="I55" s="6"/>
      <c r="J55" s="6"/>
      <c r="K55" s="6"/>
      <c r="L55" s="6"/>
      <c r="M55" s="6"/>
      <c r="N55" s="6"/>
      <c r="O55" s="6"/>
      <c r="P55" s="6"/>
      <c r="Q55" s="6"/>
      <c r="R55" s="6"/>
    </row>
    <row r="56" spans="2:18" ht="17" customHeight="1">
      <c r="B56" s="2"/>
      <c r="O56" s="6"/>
      <c r="P56" s="6"/>
      <c r="Q56" s="6"/>
      <c r="R56" s="6"/>
    </row>
    <row r="57" spans="2:18" ht="17" customHeight="1">
      <c r="Q57" s="6"/>
      <c r="R57" s="6"/>
    </row>
    <row r="58" spans="2:18" ht="17" customHeight="1">
      <c r="Q58" s="6"/>
      <c r="R58" s="6"/>
    </row>
    <row r="59" spans="2:18" ht="17.5" customHeight="1">
      <c r="Q59" s="6"/>
      <c r="R59" s="6"/>
    </row>
    <row r="60" spans="2:18" ht="17.5" customHeight="1">
      <c r="Q60" s="6"/>
      <c r="R60" s="6"/>
    </row>
    <row r="61" spans="2:18" ht="17" customHeight="1"/>
    <row r="63" spans="2:18" ht="17" customHeight="1"/>
    <row r="64" spans="2:18" ht="17.5" customHeight="1"/>
    <row r="65" ht="17.5" customHeight="1"/>
    <row r="66" ht="22" customHeight="1"/>
    <row r="67" ht="17.5" customHeight="1"/>
  </sheetData>
  <mergeCells count="174">
    <mergeCell ref="T45:U45"/>
    <mergeCell ref="S5:V5"/>
    <mergeCell ref="Q3:Z4"/>
    <mergeCell ref="Q2:R2"/>
    <mergeCell ref="S2:V2"/>
    <mergeCell ref="AD2:AE2"/>
    <mergeCell ref="AD5:AN7"/>
    <mergeCell ref="AF12:AL12"/>
    <mergeCell ref="AE13:AM13"/>
    <mergeCell ref="AE16:AM16"/>
    <mergeCell ref="AG23:AM23"/>
    <mergeCell ref="AI24:AM24"/>
    <mergeCell ref="AE27:AG27"/>
    <mergeCell ref="T38:U38"/>
    <mergeCell ref="Q39:S39"/>
    <mergeCell ref="T39:U39"/>
    <mergeCell ref="Q40:R43"/>
    <mergeCell ref="T40:U40"/>
    <mergeCell ref="T41:U41"/>
    <mergeCell ref="T42:U42"/>
    <mergeCell ref="T43:U43"/>
    <mergeCell ref="Q44:S44"/>
    <mergeCell ref="T44:U44"/>
    <mergeCell ref="F6:M8"/>
    <mergeCell ref="D6:E6"/>
    <mergeCell ref="D7:E7"/>
    <mergeCell ref="D8:E8"/>
    <mergeCell ref="C9:M9"/>
    <mergeCell ref="C12:D13"/>
    <mergeCell ref="E12:H13"/>
    <mergeCell ref="C36:F37"/>
    <mergeCell ref="C40:D41"/>
    <mergeCell ref="E40:H41"/>
    <mergeCell ref="J42:M42"/>
    <mergeCell ref="H43:I43"/>
    <mergeCell ref="H44:I44"/>
    <mergeCell ref="H45:I45"/>
    <mergeCell ref="H46:I46"/>
    <mergeCell ref="H47:I47"/>
    <mergeCell ref="H48:I48"/>
    <mergeCell ref="H49:I49"/>
    <mergeCell ref="H50:I50"/>
    <mergeCell ref="H51:I51"/>
    <mergeCell ref="H52:I52"/>
    <mergeCell ref="Q9:Q35"/>
    <mergeCell ref="R10:R34"/>
    <mergeCell ref="Q7:U7"/>
    <mergeCell ref="T8:U8"/>
    <mergeCell ref="T9:U9"/>
    <mergeCell ref="T10:U10"/>
    <mergeCell ref="T11:U11"/>
    <mergeCell ref="T12:U12"/>
    <mergeCell ref="T13:U13"/>
    <mergeCell ref="T14:U14"/>
    <mergeCell ref="T23:U23"/>
    <mergeCell ref="T25:U25"/>
    <mergeCell ref="T26:U26"/>
    <mergeCell ref="T27:U27"/>
    <mergeCell ref="T28:U28"/>
    <mergeCell ref="Q8:R8"/>
    <mergeCell ref="R35:S35"/>
    <mergeCell ref="Q36:R36"/>
    <mergeCell ref="Q37:R37"/>
    <mergeCell ref="Q38:R38"/>
    <mergeCell ref="Q45:S45"/>
    <mergeCell ref="C54:F54"/>
    <mergeCell ref="C15:D15"/>
    <mergeCell ref="L15:M15"/>
    <mergeCell ref="E16:G16"/>
    <mergeCell ref="H16:J16"/>
    <mergeCell ref="K16:M16"/>
    <mergeCell ref="C32:D32"/>
    <mergeCell ref="E32:G32"/>
    <mergeCell ref="C33:D33"/>
    <mergeCell ref="E33:G33"/>
    <mergeCell ref="H33:J33"/>
    <mergeCell ref="K33:M33"/>
    <mergeCell ref="C30:D30"/>
    <mergeCell ref="E30:G30"/>
    <mergeCell ref="H30:J30"/>
    <mergeCell ref="K30:M30"/>
    <mergeCell ref="C31:D31"/>
    <mergeCell ref="E31:G31"/>
    <mergeCell ref="H31:J31"/>
    <mergeCell ref="K31:M31"/>
    <mergeCell ref="H32:J32"/>
    <mergeCell ref="K32:M32"/>
    <mergeCell ref="C27:D27"/>
    <mergeCell ref="E27:G27"/>
    <mergeCell ref="H27:J27"/>
    <mergeCell ref="K27:M27"/>
    <mergeCell ref="C28:D28"/>
    <mergeCell ref="E28:G28"/>
    <mergeCell ref="H28:J28"/>
    <mergeCell ref="K28:M28"/>
    <mergeCell ref="C29:D29"/>
    <mergeCell ref="E29:G29"/>
    <mergeCell ref="H29:J29"/>
    <mergeCell ref="K29:M29"/>
    <mergeCell ref="C24:D24"/>
    <mergeCell ref="E24:G24"/>
    <mergeCell ref="H24:J24"/>
    <mergeCell ref="K24:M24"/>
    <mergeCell ref="C25:D25"/>
    <mergeCell ref="E25:G25"/>
    <mergeCell ref="H25:J25"/>
    <mergeCell ref="K25:M25"/>
    <mergeCell ref="C26:D26"/>
    <mergeCell ref="E26:G26"/>
    <mergeCell ref="H26:J26"/>
    <mergeCell ref="K26:M26"/>
    <mergeCell ref="C21:D21"/>
    <mergeCell ref="E21:G21"/>
    <mergeCell ref="H21:J21"/>
    <mergeCell ref="K21:M21"/>
    <mergeCell ref="C22:D22"/>
    <mergeCell ref="E22:G22"/>
    <mergeCell ref="H22:J22"/>
    <mergeCell ref="K22:M22"/>
    <mergeCell ref="C23:D23"/>
    <mergeCell ref="E23:G23"/>
    <mergeCell ref="H23:J23"/>
    <mergeCell ref="K23:M23"/>
    <mergeCell ref="AG22:AM22"/>
    <mergeCell ref="AF9:AL9"/>
    <mergeCell ref="AF10:AL10"/>
    <mergeCell ref="AF11:AL11"/>
    <mergeCell ref="Q5:R5"/>
    <mergeCell ref="D43:F43"/>
    <mergeCell ref="D44:F44"/>
    <mergeCell ref="D45:F45"/>
    <mergeCell ref="D46:F46"/>
    <mergeCell ref="C16:D16"/>
    <mergeCell ref="C17:D17"/>
    <mergeCell ref="E17:G17"/>
    <mergeCell ref="H17:J17"/>
    <mergeCell ref="K17:M17"/>
    <mergeCell ref="C18:D18"/>
    <mergeCell ref="E18:G18"/>
    <mergeCell ref="H18:J18"/>
    <mergeCell ref="K18:M18"/>
    <mergeCell ref="C19:D19"/>
    <mergeCell ref="E19:G19"/>
    <mergeCell ref="H19:J19"/>
    <mergeCell ref="K19:M19"/>
    <mergeCell ref="C20:D20"/>
    <mergeCell ref="E20:G20"/>
    <mergeCell ref="D47:F47"/>
    <mergeCell ref="D48:F48"/>
    <mergeCell ref="D49:F49"/>
    <mergeCell ref="D50:F50"/>
    <mergeCell ref="D51:F51"/>
    <mergeCell ref="D52:F52"/>
    <mergeCell ref="J49:L49"/>
    <mergeCell ref="J50:L50"/>
    <mergeCell ref="J51:L51"/>
    <mergeCell ref="J52:L52"/>
    <mergeCell ref="J43:L43"/>
    <mergeCell ref="J44:L44"/>
    <mergeCell ref="J45:L45"/>
    <mergeCell ref="J46:L46"/>
    <mergeCell ref="J47:L47"/>
    <mergeCell ref="J48:L48"/>
    <mergeCell ref="H20:J20"/>
    <mergeCell ref="K20:M20"/>
    <mergeCell ref="T29:U29"/>
    <mergeCell ref="T30:U30"/>
    <mergeCell ref="T31:U31"/>
    <mergeCell ref="T32:U32"/>
    <mergeCell ref="T33:U33"/>
    <mergeCell ref="T34:U34"/>
    <mergeCell ref="T35:U35"/>
    <mergeCell ref="T36:U36"/>
    <mergeCell ref="T37:U37"/>
  </mergeCells>
  <phoneticPr fontId="3" type="noConversion"/>
  <dataValidations count="1">
    <dataValidation type="list" allowBlank="1" showInputMessage="1" showErrorMessage="1" sqref="D7:E7">
      <formula1>"제3종(복잡), 제2종(보통), 제1종(단순)"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B2:B3"/>
  <sheetViews>
    <sheetView workbookViewId="0">
      <selection activeCell="B3" sqref="B3"/>
    </sheetView>
  </sheetViews>
  <sheetFormatPr defaultRowHeight="17"/>
  <sheetData>
    <row r="2" spans="2:2">
      <c r="B2" t="s">
        <v>186</v>
      </c>
    </row>
    <row r="3" spans="2:2">
      <c r="B3" t="s">
        <v>187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mysheet</vt:lpstr>
      <vt:lpstr>mysheet (2)</vt:lpstr>
      <vt:lpstr>Sheet6</vt:lpstr>
    </vt:vector>
  </TitlesOfParts>
  <Company>LG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정책연구실</dc:creator>
  <cp:lastModifiedBy>정책연구실</cp:lastModifiedBy>
  <cp:lastPrinted>2018-01-29T10:08:55Z</cp:lastPrinted>
  <dcterms:created xsi:type="dcterms:W3CDTF">2018-01-29T04:17:53Z</dcterms:created>
  <dcterms:modified xsi:type="dcterms:W3CDTF">2018-01-30T02:44:10Z</dcterms:modified>
</cp:coreProperties>
</file>